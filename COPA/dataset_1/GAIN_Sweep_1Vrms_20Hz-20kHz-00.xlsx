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mp" ContentType="image/bmp"/>
  <Default Extension="jpeg" ContentType="image/jpeg"/>
  <Default Extension="png" ContentType="image/png"/>
  <Default Extension="gif" ContentType="image/gif"/>
  <Default Extension="tif" ContentType="image/tif"/>
  <Default Extension="svg" ContentType="image/svg+xml"/>
  <Default Extension="emf" ContentType="image/x-emf"/>
  <Default Extension="wmf" ContentType="image/x-wmf"/>
  <Default Extension="pct" ContentType="image/pct"/>
  <Default Extension="pcx" ContentType="image/pcx"/>
  <Default Extension="tga" ContentType="image/tga"/>
  <Default Extension="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</Types>
</file>

<file path=_rels/.rels><?xml version="1.0" encoding="UTF-8" standalone="yes" 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fileSharing readOnlyRecommended="0" userName="Rich"/>
  <workbookPr/>
  <bookViews>
    <workbookView activeTab="0" xWindow="240" yWindow="60" windowWidth="0" windowHeight="0" tabRatio="500"/>
  </bookViews>
  <sheets>
    <sheet name="BOARD_1 Gain" sheetId="1" r:id="rId4"/>
  </sheets>
  <calcPr/>
  <extLst>
    <ext uri="smNativeData">
      <pm:revision xmlns:pm="smNativeData" day="1718654535" val="1068" rev="124" revOS="4" revMin="124" revMax="0"/>
      <pm:docPrefs xmlns:pm="smNativeData" id="1718654535" fixedDigits="0" showNotice="1" showProtection="1" showFrameBounds="1" autoChart="1" recalcOnPrint="1" recalcOnCopy="1" tab="567" useDefinedPrintRange="1" printArea="currentSheet"/>
      <pm:compatibility xmlns:pm="smNativeData" id="1718654535"/>
      <pm:defCurrency xmlns:pm="smNativeData" id="1718654535"/>
    </ext>
  </extLst>
</workbook>
</file>

<file path=xl/sharedStrings.xml><?xml version="1.0" encoding="utf-8"?>
<sst xmlns="http://schemas.openxmlformats.org/spreadsheetml/2006/main" count="92" uniqueCount="19">
  <si>
    <t>Gain</t>
  </si>
  <si>
    <t>Phase</t>
  </si>
  <si>
    <t>Ch1</t>
  </si>
  <si>
    <t>IN</t>
  </si>
  <si>
    <t>Ch2</t>
  </si>
  <si>
    <t>OUT</t>
  </si>
  <si>
    <t>X</t>
  </si>
  <si>
    <t>Y</t>
  </si>
  <si>
    <t>Hz</t>
  </si>
  <si>
    <t>dB</t>
  </si>
  <si>
    <t>freq. (Hz)</t>
  </si>
  <si>
    <t>GAIN</t>
  </si>
  <si>
    <t>deg</t>
  </si>
  <si>
    <t>"Summary: Signal Path1.Signal Path Setup.Gain"</t>
  </si>
  <si>
    <t>"Summary: Signal Path1.Signal Path Setup.Phase"</t>
  </si>
  <si>
    <t>Channel</t>
  </si>
  <si>
    <t>"Passed Lower Limit"</t>
  </si>
  <si>
    <t>"Passed Upper Limit"</t>
  </si>
  <si>
    <t>N/A</t>
  </si>
</sst>
</file>

<file path=xl/styles.xml><?xml version="1.0" encoding="utf-8"?>
<styleSheet xmlns="http://schemas.openxmlformats.org/spreadsheetml/2006/main">
  <numFmts count="10">
    <numFmt numFmtId="5" formatCode="#,##0\ &quot;$&quot;;\-#,##0\ &quot;$&quot;"/>
    <numFmt numFmtId="6" formatCode="#,##0\ &quot;$&quot;;[Red]\-#,##0\ &quot;$&quot;"/>
    <numFmt numFmtId="7" formatCode="#,##0.00\ &quot;$&quot;;\-#,##0.00\ &quot;$&quot;"/>
    <numFmt numFmtId="8" formatCode="#,##0.00\ &quot;$&quot;;[Red]\-#,##0.00\ &quot;$&quot;"/>
    <numFmt numFmtId="42" formatCode="_-* #,##0\ &quot;$&quot;_-;\-* #,##0\ &quot;$&quot;_-;_-* &quot;-&quot;\ &quot;$&quot;_-;_-@_-"/>
    <numFmt numFmtId="41" formatCode="_-* #,##0\ _$_-;\-* #,##0\ _$_-;_-* &quot;-&quot;\ _$_-;_-@_-"/>
    <numFmt numFmtId="44" formatCode="_-* #,##0.00\ &quot;$&quot;_-;\-* #,##0.00\ &quot;$&quot;_-;_-* &quot;-&quot;??\ &quot;$&quot;_-;_-@_-"/>
    <numFmt numFmtId="43" formatCode="_-* #,##0.00\ _$_-;\-* #,##0.00\ _$_-;_-* &quot;-&quot;??\ _$_-;_-@_-"/>
    <numFmt numFmtId="1" formatCode="0"/>
    <numFmt numFmtId="164" formatCode="0.0000"/>
  </numFmts>
  <fonts count="2">
    <font>
      <name val="Arial"/>
      <family val="2"/>
      <color rgb="FF000000"/>
      <sz val="10"/>
      <extLst>
        <ext uri="smNativeData">
          <pm:charSpec xmlns:pm="smNativeData" id="1718654535" ulstyle="none" kern="1">
            <pm:latin face="Arial" sz="200" lang="default"/>
            <pm:cs face="Times New Roman" sz="200" lang="default"/>
            <pm:ea face="SimSun" sz="200" lang="default"/>
          </pm:charSpec>
        </ext>
      </extLst>
    </font>
    <font>
      <name val="Arial"/>
      <family val="2"/>
      <b/>
      <color rgb="FF000000"/>
      <sz val="10"/>
      <extLst>
        <ext uri="smNativeData">
          <pm:charSpec xmlns:pm="smNativeData" id="1718654535" ulstyle="none" kern="1">
            <pm:latin face="Arial" sz="200" lang="default" weight="bold"/>
            <pm:cs face="Times New Roman" sz="200" lang="default"/>
            <pm:ea face="SimSun" sz="200" lang="default"/>
          </pm:charSpec>
        </ext>
      </extLst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  <extLst>
          <ext uri="smNativeData">
            <pm:shade xmlns:pm="smNativeData" id="1718654535" type="1" fgLvl="100" fgClr="00FFFFFF" bgLvl="100" bgClr="00000000"/>
          </ext>
        </extLst>
      </patternFill>
    </fill>
    <fill>
      <patternFill patternType="solid">
        <fgColor rgb="FFFFFF9E"/>
        <bgColor rgb="FFFFFFFF"/>
        <extLst>
          <ext uri="smNativeData">
            <pm:shade xmlns:pm="smNativeData" id="1718654535" type="1" fgLvl="38" fgClr="00FFFF00" bgLvl="62" bgClr="00FFFFFF"/>
          </ext>
        </extLst>
      </patternFill>
    </fill>
  </fills>
  <borders count="3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18654535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18654535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18654535"/>
        </ext>
      </extLst>
    </border>
  </borders>
  <cellStyleXfs count="1">
    <xf numFmtId="0" fontId="0" fillId="0" borderId="0" applyNumberFormat="1" applyFont="1" applyFill="1" applyBorder="1" applyAlignment="1" applyProtection="1"/>
  </cellStyleXfs>
  <cellXfs count="8">
    <xf numFmtId="0" fontId="0" fillId="0" borderId="0" xfId="0"/>
    <xf numFmtId="0" fontId="1" fillId="3" borderId="2" xfId="0" applyFont="1" applyFill="1" applyAlignment="1">
      <alignment horizontal="center"/>
    </xf>
    <xf numFmtId="1" fontId="0" fillId="0" borderId="0" xfId="0" applyNumberFormat="1"/>
    <xf numFmtId="1" fontId="1" fillId="3" borderId="2" xfId="0" applyNumberFormat="1" applyFont="1" applyFill="1" applyAlignment="1">
      <alignment horizontal="center"/>
    </xf>
    <xf numFmtId="0" fontId="1" fillId="0" borderId="0" xfId="0" applyFont="1" applyAlignment="1">
      <alignment horizontal="center"/>
    </xf>
    <xf numFmtId="0" fontId="1" fillId="3" borderId="2" xfId="0" applyFont="1" applyFill="1" applyAlignment="1">
      <alignment horizontal="center"/>
    </xf>
    <xf numFmtId="1" fontId="0" fillId="0" borderId="0" xfId="0" applyNumberFormat="1"/>
    <xf numFmtId="1" fontId="1" fillId="0" borderId="0" xfId="0" applyNumberFormat="1" applyFont="1" applyAlignment="1">
      <alignment horizontal="center"/>
    </xf>
  </cellXfs>
  <cellStyles count="1">
    <cellStyle name="Normal" xfId="0" builtinId="0" customBuiltin="1"/>
  </cellStyles>
  <tableStyles count="0"/>
  <extLst>
    <ext uri="smNativeData">
      <pm:charStyles xmlns:pm="smNativeData" id="1718654535" count="1">
        <pm:charStyle name="Normal" fontId="0" Id="1"/>
      </pm:charStyles>
    </ext>
  </extLst>
</styleSheet>
</file>

<file path=xl/_rels/workbook.xml.rels><?xml version="1.0" encoding="UTF-8" standalone="yes" 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style val="2"/>
  <c:chart>
    <c:title>
      <c:tx>
        <c:rich>
          <a:bodyPr/>
          <a:lstStyle/>
          <a:p>
            <a:pPr>
              <a:defRPr lang="es-mx" sz="1275" b="1" i="0" u="none" strike="noStrike">
                <a:solidFill>
                  <a:srgbClr val="000000"/>
                </a:solidFill>
                <a:latin typeface="Arial"/>
              </a:defRPr>
            </a:pPr>
            <a:r>
              <a:t>Gain</a:t>
            </a:r>
          </a:p>
        </c:rich>
      </c:tx>
      <c:layout>
        <c:manualLayout>
          <c:xMode val="edge"/>
          <c:yMode val="edge"/>
          <c:wMode val="factor"/>
          <c:hMode val="factor"/>
          <c:x val="0.456250"/>
          <c:y val="0.036750"/>
          <c:w val="0.098750"/>
          <c:h val="0.077750"/>
        </c:manualLayout>
      </c:layout>
      <c:overlay val="0"/>
      <c:spPr>
        <a:noFill/>
        <a:ln>
          <a:noFill/>
        </a:ln>
      </c:spPr>
    </c:title>
    <c:plotArea>
      <c:layout/>
      <c:scatterChart>
        <c:scatterStyle val="smoothMarker"/>
        <c:varyColors val="0"/>
        <c:ser>
          <c:idx val="0"/>
          <c:order val="0"/>
          <c:tx>
            <c:v>OUT</c:v>
          </c:tx>
          <c:xVal>
            <c:numRef>
              <c:f>'BOARD_1 Gain'!$C$5:$C$104</c:f>
              <c:numCache>
                <c:formatCode>0</c:formatCode>
                <c:ptCount val="100"/>
                <c:pt idx="0">
                  <c:v>20000</c:v>
                </c:pt>
                <c:pt idx="1">
                  <c:v>18652.0669376646</c:v>
                </c:pt>
                <c:pt idx="2">
                  <c:v>17394.9800523558</c:v>
                </c:pt>
                <c:pt idx="3">
                  <c:v>16222.6166157939</c:v>
                </c:pt>
                <c:pt idx="4">
                  <c:v>15129.2665510927</c:v>
                </c:pt>
                <c:pt idx="5">
                  <c:v>14109.6046214374</c:v>
                </c:pt>
                <c:pt idx="6">
                  <c:v>13158.6644931515</c:v>
                </c:pt>
                <c:pt idx="7">
                  <c:v>12271.8145468264</c:v>
                </c:pt>
                <c:pt idx="8">
                  <c:v>11444.7353187005</c:v>
                </c:pt>
                <c:pt idx="9">
                  <c:v>10673.3984624127</c:v>
                </c:pt>
                <c:pt idx="10">
                  <c:v>9954.0471286643</c:v>
                </c:pt>
                <c:pt idx="11">
                  <c:v>9283.17766722563</c:v>
                </c:pt>
                <c:pt idx="12">
                  <c:v>8657.52256216619</c:v>
                </c:pt>
                <c:pt idx="13">
                  <c:v>8074.03451719317</c:v>
                </c:pt>
                <c:pt idx="14">
                  <c:v>7529.871613585</c:v>
                </c:pt>
                <c:pt idx="15">
                  <c:v>7022.38346843032</c:v>
                </c:pt>
                <c:pt idx="16">
                  <c:v>6549.09832575551</c:v>
                </c:pt>
                <c:pt idx="17">
                  <c:v>6107.71101766688</c:v>
                </c:pt>
                <c:pt idx="18">
                  <c:v>5696.07173687165</c:v>
                </c:pt>
                <c:pt idx="19">
                  <c:v>5312.17556589341</c:v>
                </c:pt>
                <c:pt idx="20">
                  <c:v>4954.15271198346</c:v>
                </c:pt>
                <c:pt idx="21">
                  <c:v>4620.25940016635</c:v>
                </c:pt>
                <c:pt idx="22">
                  <c:v>4308.8693800638</c:v>
                </c:pt>
                <c:pt idx="23">
                  <c:v>4018.46600513012</c:v>
                </c:pt>
                <c:pt idx="24">
                  <c:v>3747.63484572079</c:v>
                </c:pt>
                <c:pt idx="25">
                  <c:v>3495.05680001539</c:v>
                </c:pt>
                <c:pt idx="26">
                  <c:v>3259.50166924131</c:v>
                </c:pt>
                <c:pt idx="27">
                  <c:v>3039.82216590589</c:v>
                </c:pt>
                <c:pt idx="28">
                  <c:v>2834.94832585363</c:v>
                </c:pt>
                <c:pt idx="29">
                  <c:v>2643.88229693208</c:v>
                </c:pt>
                <c:pt idx="30">
                  <c:v>2465.69347888415</c:v>
                </c:pt>
                <c:pt idx="31">
                  <c:v>2299.51399079549</c:v>
                </c:pt>
                <c:pt idx="32">
                  <c:v>2144.53444402066</c:v>
                </c:pt>
                <c:pt idx="33">
                  <c:v>2000.00000000001</c:v>
                </c:pt>
                <c:pt idx="34">
                  <c:v>1865.20669376645</c:v>
                </c:pt>
                <c:pt idx="35">
                  <c:v>1739.49800523558</c:v>
                </c:pt>
                <c:pt idx="36">
                  <c:v>1622.26166157938</c:v>
                </c:pt>
                <c:pt idx="37">
                  <c:v>1512.92665510927</c:v>
                </c:pt>
                <c:pt idx="38">
                  <c:v>1410.96046214374</c:v>
                </c:pt>
                <c:pt idx="39">
                  <c:v>1315.86644931514</c:v>
                </c:pt>
                <c:pt idx="40">
                  <c:v>1227.18145468264</c:v>
                </c:pt>
                <c:pt idx="41">
                  <c:v>1144.47353187005</c:v>
                </c:pt>
                <c:pt idx="42">
                  <c:v>1067.33984624127</c:v>
                </c:pt>
                <c:pt idx="43">
                  <c:v>995.404712866427</c:v>
                </c:pt>
                <c:pt idx="44">
                  <c:v>928.31776672256</c:v>
                </c:pt>
                <c:pt idx="45">
                  <c:v>865.752256216616</c:v>
                </c:pt>
                <c:pt idx="46">
                  <c:v>807.403451719315</c:v>
                </c:pt>
                <c:pt idx="47">
                  <c:v>752.987161358497</c:v>
                </c:pt>
                <c:pt idx="48">
                  <c:v>702.238346843029</c:v>
                </c:pt>
                <c:pt idx="49">
                  <c:v>654.909832575548</c:v>
                </c:pt>
                <c:pt idx="50">
                  <c:v>610.771101766686</c:v>
                </c:pt>
                <c:pt idx="51">
                  <c:v>569.607173687163</c:v>
                </c:pt>
                <c:pt idx="52">
                  <c:v>531.217556589339</c:v>
                </c:pt>
                <c:pt idx="53">
                  <c:v>495.415271198344</c:v>
                </c:pt>
                <c:pt idx="54">
                  <c:v>462.025940016634</c:v>
                </c:pt>
                <c:pt idx="55">
                  <c:v>430.886938006378</c:v>
                </c:pt>
                <c:pt idx="56">
                  <c:v>401.846600513011</c:v>
                </c:pt>
                <c:pt idx="57">
                  <c:v>374.763484572078</c:v>
                </c:pt>
                <c:pt idx="58">
                  <c:v>349.505680001538</c:v>
                </c:pt>
                <c:pt idx="59">
                  <c:v>325.95016692413</c:v>
                </c:pt>
                <c:pt idx="60">
                  <c:v>303.982216590588</c:v>
                </c:pt>
                <c:pt idx="61">
                  <c:v>283.494832585362</c:v>
                </c:pt>
                <c:pt idx="62">
                  <c:v>264.388229693207</c:v>
                </c:pt>
                <c:pt idx="63">
                  <c:v>246.569347888414</c:v>
                </c:pt>
                <c:pt idx="64">
                  <c:v>229.951399079548</c:v>
                </c:pt>
                <c:pt idx="65">
                  <c:v>214.453444402065</c:v>
                </c:pt>
                <c:pt idx="66">
                  <c:v>200.000000000001</c:v>
                </c:pt>
                <c:pt idx="67">
                  <c:v>186.520669376644</c:v>
                </c:pt>
                <c:pt idx="68">
                  <c:v>173.949800523557</c:v>
                </c:pt>
                <c:pt idx="69">
                  <c:v>162.226166157938</c:v>
                </c:pt>
                <c:pt idx="70">
                  <c:v>151.292665510926</c:v>
                </c:pt>
                <c:pt idx="71">
                  <c:v>141.096046214373</c:v>
                </c:pt>
                <c:pt idx="72">
                  <c:v>131.586644931514</c:v>
                </c:pt>
                <c:pt idx="73">
                  <c:v>122.718145468264</c:v>
                </c:pt>
                <c:pt idx="74">
                  <c:v>114.447353187005</c:v>
                </c:pt>
                <c:pt idx="75">
                  <c:v>106.733984624126</c:v>
                </c:pt>
                <c:pt idx="76">
                  <c:v>99.5404712866424</c:v>
                </c:pt>
                <c:pt idx="77">
                  <c:v>92.8317766722558</c:v>
                </c:pt>
                <c:pt idx="78">
                  <c:v>86.5752256216613</c:v>
                </c:pt>
                <c:pt idx="79">
                  <c:v>80.7403451719312</c:v>
                </c:pt>
                <c:pt idx="80">
                  <c:v>75.2987161358495</c:v>
                </c:pt>
                <c:pt idx="81">
                  <c:v>70.2238346843027</c:v>
                </c:pt>
                <c:pt idx="82">
                  <c:v>65.4909832575547</c:v>
                </c:pt>
                <c:pt idx="83">
                  <c:v>61.0771101766684</c:v>
                </c:pt>
                <c:pt idx="84">
                  <c:v>56.9607173687161</c:v>
                </c:pt>
                <c:pt idx="85">
                  <c:v>53.1217556589338</c:v>
                </c:pt>
                <c:pt idx="86">
                  <c:v>49.5415271198343</c:v>
                </c:pt>
                <c:pt idx="87">
                  <c:v>46.2025940016632</c:v>
                </c:pt>
                <c:pt idx="88">
                  <c:v>43.0886938006377</c:v>
                </c:pt>
                <c:pt idx="89">
                  <c:v>40.184660051301</c:v>
                </c:pt>
                <c:pt idx="90">
                  <c:v>37.4763484572077</c:v>
                </c:pt>
                <c:pt idx="91">
                  <c:v>34.9505680001537</c:v>
                </c:pt>
                <c:pt idx="92">
                  <c:v>32.5950166924129</c:v>
                </c:pt>
                <c:pt idx="93">
                  <c:v>30.3982216590587</c:v>
                </c:pt>
                <c:pt idx="94">
                  <c:v>28.3494832585361</c:v>
                </c:pt>
                <c:pt idx="95">
                  <c:v>26.4388229693206</c:v>
                </c:pt>
                <c:pt idx="96">
                  <c:v>24.6569347888413</c:v>
                </c:pt>
                <c:pt idx="97">
                  <c:v>22.9951399079547</c:v>
                </c:pt>
                <c:pt idx="98">
                  <c:v>21.4453444402065</c:v>
                </c:pt>
                <c:pt idx="99">
                  <c:v>20</c:v>
                </c:pt>
              </c:numCache>
            </c:numRef>
          </c:xVal>
          <c:yVal>
            <c:numRef>
              <c:f>'BOARD_1 Gain'!$E$5:$E$104</c:f>
              <c:numCache>
                <c:formatCode>General</c:formatCode>
                <c:ptCount val="100"/>
                <c:pt idx="0">
                  <c:v>1.00142424759767</c:v>
                </c:pt>
                <c:pt idx="1">
                  <c:v>1.00120469228715</c:v>
                </c:pt>
                <c:pt idx="2">
                  <c:v>1.00101061333652</c:v>
                </c:pt>
                <c:pt idx="3">
                  <c:v>1.00081349970436</c:v>
                </c:pt>
                <c:pt idx="4">
                  <c:v>1.00060680746322</c:v>
                </c:pt>
                <c:pt idx="5">
                  <c:v>1.00040347153578</c:v>
                </c:pt>
                <c:pt idx="6">
                  <c:v>1.00021687342316</c:v>
                </c:pt>
                <c:pt idx="7">
                  <c:v>1.00005532887493</c:v>
                </c:pt>
                <c:pt idx="8">
                  <c:v>0.999925116847241</c:v>
                </c:pt>
                <c:pt idx="9">
                  <c:v>0.999823712853044</c:v>
                </c:pt>
                <c:pt idx="10">
                  <c:v>0.99974785400159</c:v>
                </c:pt>
                <c:pt idx="11">
                  <c:v>0.999695101218089</c:v>
                </c:pt>
                <c:pt idx="12">
                  <c:v>0.999659020395112</c:v>
                </c:pt>
                <c:pt idx="13">
                  <c:v>0.999631230086819</c:v>
                </c:pt>
                <c:pt idx="14">
                  <c:v>0.999605200741556</c:v>
                </c:pt>
                <c:pt idx="15">
                  <c:v>0.999586384379355</c:v>
                </c:pt>
                <c:pt idx="16">
                  <c:v>0.999568376575657</c:v>
                </c:pt>
                <c:pt idx="17">
                  <c:v>0.999546928642927</c:v>
                </c:pt>
                <c:pt idx="18">
                  <c:v>0.999522648755633</c:v>
                </c:pt>
                <c:pt idx="19">
                  <c:v>0.999500325006203</c:v>
                </c:pt>
                <c:pt idx="20">
                  <c:v>0.999477533173178</c:v>
                </c:pt>
                <c:pt idx="21">
                  <c:v>0.999453595329898</c:v>
                </c:pt>
                <c:pt idx="22">
                  <c:v>0.999435015177877</c:v>
                </c:pt>
                <c:pt idx="23">
                  <c:v>0.999409321259383</c:v>
                </c:pt>
                <c:pt idx="24">
                  <c:v>0.9993879683135</c:v>
                </c:pt>
                <c:pt idx="25">
                  <c:v>0.999364234372248</c:v>
                </c:pt>
                <c:pt idx="26">
                  <c:v>0.999346548836961</c:v>
                </c:pt>
                <c:pt idx="27">
                  <c:v>0.999332094988274</c:v>
                </c:pt>
                <c:pt idx="28">
                  <c:v>0.999312256162325</c:v>
                </c:pt>
                <c:pt idx="29">
                  <c:v>0.999298369549059</c:v>
                </c:pt>
                <c:pt idx="30">
                  <c:v>0.999284466648008</c:v>
                </c:pt>
                <c:pt idx="31">
                  <c:v>0.999272627045817</c:v>
                </c:pt>
                <c:pt idx="32">
                  <c:v>0.999259907217747</c:v>
                </c:pt>
                <c:pt idx="33">
                  <c:v>0.999250528374755</c:v>
                </c:pt>
                <c:pt idx="34">
                  <c:v>0.999246051960112</c:v>
                </c:pt>
                <c:pt idx="35">
                  <c:v>0.999237454887521</c:v>
                </c:pt>
                <c:pt idx="36">
                  <c:v>0.999232671849141</c:v>
                </c:pt>
                <c:pt idx="37">
                  <c:v>0.999227972870685</c:v>
                </c:pt>
                <c:pt idx="38">
                  <c:v>0.999219716630579</c:v>
                </c:pt>
                <c:pt idx="39">
                  <c:v>0.999216542299066</c:v>
                </c:pt>
                <c:pt idx="40">
                  <c:v>0.999213838512213</c:v>
                </c:pt>
                <c:pt idx="41">
                  <c:v>0.999209826966099</c:v>
                </c:pt>
                <c:pt idx="42">
                  <c:v>0.999205747899598</c:v>
                </c:pt>
                <c:pt idx="43">
                  <c:v>0.999203915608398</c:v>
                </c:pt>
                <c:pt idx="44">
                  <c:v>0.999203006573722</c:v>
                </c:pt>
                <c:pt idx="45">
                  <c:v>0.999198232971951</c:v>
                </c:pt>
                <c:pt idx="46">
                  <c:v>0.999196386080675</c:v>
                </c:pt>
                <c:pt idx="47">
                  <c:v>0.999199345516708</c:v>
                </c:pt>
                <c:pt idx="48">
                  <c:v>0.99919889375973</c:v>
                </c:pt>
                <c:pt idx="49">
                  <c:v>0.999196536545464</c:v>
                </c:pt>
                <c:pt idx="50">
                  <c:v>0.999195396371715</c:v>
                </c:pt>
                <c:pt idx="51">
                  <c:v>0.999194989281775</c:v>
                </c:pt>
                <c:pt idx="52">
                  <c:v>0.999195111523661</c:v>
                </c:pt>
                <c:pt idx="53">
                  <c:v>0.999194783525874</c:v>
                </c:pt>
                <c:pt idx="54">
                  <c:v>0.999191861772848</c:v>
                </c:pt>
                <c:pt idx="55">
                  <c:v>0.999197343113171</c:v>
                </c:pt>
                <c:pt idx="56">
                  <c:v>0.999195056690582</c:v>
                </c:pt>
                <c:pt idx="57">
                  <c:v>0.99919037259228</c:v>
                </c:pt>
                <c:pt idx="58">
                  <c:v>0.999195752566486</c:v>
                </c:pt>
                <c:pt idx="59">
                  <c:v>0.999192269825208</c:v>
                </c:pt>
                <c:pt idx="60">
                  <c:v>0.999194898433777</c:v>
                </c:pt>
                <c:pt idx="61">
                  <c:v>0.999195194218664</c:v>
                </c:pt>
                <c:pt idx="62">
                  <c:v>0.999193677694419</c:v>
                </c:pt>
                <c:pt idx="63">
                  <c:v>0.999191126675181</c:v>
                </c:pt>
                <c:pt idx="64">
                  <c:v>0.99919245737507</c:v>
                </c:pt>
                <c:pt idx="65">
                  <c:v>0.999193622931598</c:v>
                </c:pt>
                <c:pt idx="66">
                  <c:v>0.999185606822584</c:v>
                </c:pt>
                <c:pt idx="67">
                  <c:v>0.999185577263579</c:v>
                </c:pt>
                <c:pt idx="68">
                  <c:v>0.999185326514254</c:v>
                </c:pt>
                <c:pt idx="69">
                  <c:v>0.999180248314861</c:v>
                </c:pt>
                <c:pt idx="70">
                  <c:v>0.999178792285391</c:v>
                </c:pt>
                <c:pt idx="71">
                  <c:v>0.999177550794353</c:v>
                </c:pt>
                <c:pt idx="72">
                  <c:v>0.999170346441546</c:v>
                </c:pt>
                <c:pt idx="73">
                  <c:v>0.999169227458649</c:v>
                </c:pt>
                <c:pt idx="74">
                  <c:v>0.999160792931422</c:v>
                </c:pt>
                <c:pt idx="75">
                  <c:v>0.999152286785373</c:v>
                </c:pt>
                <c:pt idx="76">
                  <c:v>0.999140585994566</c:v>
                </c:pt>
                <c:pt idx="77">
                  <c:v>0.999137286153946</c:v>
                </c:pt>
                <c:pt idx="78">
                  <c:v>0.999130324575268</c:v>
                </c:pt>
                <c:pt idx="79">
                  <c:v>0.999122468804136</c:v>
                </c:pt>
                <c:pt idx="80">
                  <c:v>0.999182410643327</c:v>
                </c:pt>
                <c:pt idx="81">
                  <c:v>0.999180811846455</c:v>
                </c:pt>
                <c:pt idx="82">
                  <c:v>0.999176823422161</c:v>
                </c:pt>
                <c:pt idx="83">
                  <c:v>0.99917035659265</c:v>
                </c:pt>
                <c:pt idx="84">
                  <c:v>0.999165652690631</c:v>
                </c:pt>
                <c:pt idx="85">
                  <c:v>0.99915482732406</c:v>
                </c:pt>
                <c:pt idx="86">
                  <c:v>0.999148560091522</c:v>
                </c:pt>
                <c:pt idx="87">
                  <c:v>0.99914260476489</c:v>
                </c:pt>
                <c:pt idx="88">
                  <c:v>0.999127326701362</c:v>
                </c:pt>
                <c:pt idx="89">
                  <c:v>0.999122337714553</c:v>
                </c:pt>
                <c:pt idx="90">
                  <c:v>0.999109570556726</c:v>
                </c:pt>
                <c:pt idx="91">
                  <c:v>0.999082686240828</c:v>
                </c:pt>
                <c:pt idx="92">
                  <c:v>0.999074471829542</c:v>
                </c:pt>
                <c:pt idx="93">
                  <c:v>0.999047656946629</c:v>
                </c:pt>
                <c:pt idx="94">
                  <c:v>0.999012961336419</c:v>
                </c:pt>
                <c:pt idx="95">
                  <c:v>0.998985962487158</c:v>
                </c:pt>
                <c:pt idx="96">
                  <c:v>0.998956233797529</c:v>
                </c:pt>
                <c:pt idx="97">
                  <c:v>0.998915073790955</c:v>
                </c:pt>
                <c:pt idx="98">
                  <c:v>0.998877110657222</c:v>
                </c:pt>
                <c:pt idx="99">
                  <c:v>0.998809309978622</c:v>
                </c:pt>
              </c:numCache>
            </c:numRef>
          </c:yVal>
          <c:smooth val="1"/>
          <c:extLst>
            <c:ext xmlns:sm="smo" uri="smo">
              <sm:meanLine>
                <c:spPr>
                  <a:ln>
                    <a:noFill/>
                  </a:ln>
                </c:spPr>
              </sm:meanLine>
              <sm:minMaxLine>
                <c:spPr>
                  <a:ln>
                    <a:noFill/>
                  </a:ln>
                </c:spPr>
              </sm:minMaxLine>
              <sm:stDevLine>
                <c:spPr>
                  <a:ln>
                    <a:noFill/>
                  </a:ln>
                </c:spPr>
              </sm:stDevLine>
              <sm:trendLine>
                <c:spPr>
                  <a:ln>
                    <a:noFill/>
                  </a:ln>
                </c:spPr>
              </sm:trendLine>
            </c:ext>
          </c:extLst>
        </c:ser>
        <c:ser>
          <c:idx val="1"/>
          <c:order val="1"/>
          <c:tx>
            <c:v>IN</c:v>
          </c:tx>
          <c:xVal>
            <c:numRef>
              <c:f>'BOARD_1 Gain'!$I$5:$I$104</c:f>
              <c:numCache>
                <c:formatCode>0</c:formatCode>
                <c:ptCount val="100"/>
                <c:pt idx="0">
                  <c:v>20000</c:v>
                </c:pt>
                <c:pt idx="1">
                  <c:v>18652.0669376646</c:v>
                </c:pt>
                <c:pt idx="2">
                  <c:v>17394.9800523558</c:v>
                </c:pt>
                <c:pt idx="3">
                  <c:v>16222.6166157939</c:v>
                </c:pt>
                <c:pt idx="4">
                  <c:v>15129.2665510927</c:v>
                </c:pt>
                <c:pt idx="5">
                  <c:v>14109.6046214374</c:v>
                </c:pt>
                <c:pt idx="6">
                  <c:v>13158.6644931515</c:v>
                </c:pt>
                <c:pt idx="7">
                  <c:v>12271.8145468264</c:v>
                </c:pt>
                <c:pt idx="8">
                  <c:v>11444.7353187005</c:v>
                </c:pt>
                <c:pt idx="9">
                  <c:v>10673.3984624127</c:v>
                </c:pt>
                <c:pt idx="10">
                  <c:v>9954.0471286643</c:v>
                </c:pt>
                <c:pt idx="11">
                  <c:v>9283.17766722563</c:v>
                </c:pt>
                <c:pt idx="12">
                  <c:v>8657.52256216619</c:v>
                </c:pt>
                <c:pt idx="13">
                  <c:v>8074.03451719317</c:v>
                </c:pt>
                <c:pt idx="14">
                  <c:v>7529.871613585</c:v>
                </c:pt>
                <c:pt idx="15">
                  <c:v>7022.38346843032</c:v>
                </c:pt>
                <c:pt idx="16">
                  <c:v>6549.09832575551</c:v>
                </c:pt>
                <c:pt idx="17">
                  <c:v>6107.71101766688</c:v>
                </c:pt>
                <c:pt idx="18">
                  <c:v>5696.07173687165</c:v>
                </c:pt>
                <c:pt idx="19">
                  <c:v>5312.17556589341</c:v>
                </c:pt>
                <c:pt idx="20">
                  <c:v>4954.15271198346</c:v>
                </c:pt>
                <c:pt idx="21">
                  <c:v>4620.25940016635</c:v>
                </c:pt>
                <c:pt idx="22">
                  <c:v>4308.8693800638</c:v>
                </c:pt>
                <c:pt idx="23">
                  <c:v>4018.46600513012</c:v>
                </c:pt>
                <c:pt idx="24">
                  <c:v>3747.63484572079</c:v>
                </c:pt>
                <c:pt idx="25">
                  <c:v>3495.05680001539</c:v>
                </c:pt>
                <c:pt idx="26">
                  <c:v>3259.50166924131</c:v>
                </c:pt>
                <c:pt idx="27">
                  <c:v>3039.82216590589</c:v>
                </c:pt>
                <c:pt idx="28">
                  <c:v>2834.94832585363</c:v>
                </c:pt>
                <c:pt idx="29">
                  <c:v>2643.88229693208</c:v>
                </c:pt>
                <c:pt idx="30">
                  <c:v>2465.69347888415</c:v>
                </c:pt>
                <c:pt idx="31">
                  <c:v>2299.51399079549</c:v>
                </c:pt>
                <c:pt idx="32">
                  <c:v>2144.53444402066</c:v>
                </c:pt>
                <c:pt idx="33">
                  <c:v>2000.00000000001</c:v>
                </c:pt>
                <c:pt idx="34">
                  <c:v>1865.20669376645</c:v>
                </c:pt>
                <c:pt idx="35">
                  <c:v>1739.49800523558</c:v>
                </c:pt>
                <c:pt idx="36">
                  <c:v>1622.26166157938</c:v>
                </c:pt>
                <c:pt idx="37">
                  <c:v>1512.92665510927</c:v>
                </c:pt>
                <c:pt idx="38">
                  <c:v>1410.96046214374</c:v>
                </c:pt>
                <c:pt idx="39">
                  <c:v>1315.86644931514</c:v>
                </c:pt>
                <c:pt idx="40">
                  <c:v>1227.18145468264</c:v>
                </c:pt>
                <c:pt idx="41">
                  <c:v>1144.47353187005</c:v>
                </c:pt>
                <c:pt idx="42">
                  <c:v>1067.33984624127</c:v>
                </c:pt>
                <c:pt idx="43">
                  <c:v>995.404712866427</c:v>
                </c:pt>
                <c:pt idx="44">
                  <c:v>928.31776672256</c:v>
                </c:pt>
                <c:pt idx="45">
                  <c:v>865.752256216616</c:v>
                </c:pt>
                <c:pt idx="46">
                  <c:v>807.403451719315</c:v>
                </c:pt>
                <c:pt idx="47">
                  <c:v>752.987161358497</c:v>
                </c:pt>
                <c:pt idx="48">
                  <c:v>702.238346843029</c:v>
                </c:pt>
                <c:pt idx="49">
                  <c:v>654.909832575548</c:v>
                </c:pt>
                <c:pt idx="50">
                  <c:v>610.771101766686</c:v>
                </c:pt>
                <c:pt idx="51">
                  <c:v>569.607173687163</c:v>
                </c:pt>
                <c:pt idx="52">
                  <c:v>531.217556589339</c:v>
                </c:pt>
                <c:pt idx="53">
                  <c:v>495.415271198344</c:v>
                </c:pt>
                <c:pt idx="54">
                  <c:v>462.025940016634</c:v>
                </c:pt>
                <c:pt idx="55">
                  <c:v>430.886938006378</c:v>
                </c:pt>
                <c:pt idx="56">
                  <c:v>401.846600513011</c:v>
                </c:pt>
                <c:pt idx="57">
                  <c:v>374.763484572078</c:v>
                </c:pt>
                <c:pt idx="58">
                  <c:v>349.505680001538</c:v>
                </c:pt>
                <c:pt idx="59">
                  <c:v>325.95016692413</c:v>
                </c:pt>
                <c:pt idx="60">
                  <c:v>303.982216590588</c:v>
                </c:pt>
                <c:pt idx="61">
                  <c:v>283.494832585362</c:v>
                </c:pt>
                <c:pt idx="62">
                  <c:v>264.388229693207</c:v>
                </c:pt>
                <c:pt idx="63">
                  <c:v>246.569347888414</c:v>
                </c:pt>
                <c:pt idx="64">
                  <c:v>229.951399079548</c:v>
                </c:pt>
                <c:pt idx="65">
                  <c:v>214.453444402065</c:v>
                </c:pt>
                <c:pt idx="66">
                  <c:v>200.000000000001</c:v>
                </c:pt>
                <c:pt idx="67">
                  <c:v>186.520669376644</c:v>
                </c:pt>
                <c:pt idx="68">
                  <c:v>173.949800523557</c:v>
                </c:pt>
                <c:pt idx="69">
                  <c:v>162.226166157938</c:v>
                </c:pt>
                <c:pt idx="70">
                  <c:v>151.292665510926</c:v>
                </c:pt>
                <c:pt idx="71">
                  <c:v>141.096046214373</c:v>
                </c:pt>
                <c:pt idx="72">
                  <c:v>131.586644931514</c:v>
                </c:pt>
                <c:pt idx="73">
                  <c:v>122.718145468264</c:v>
                </c:pt>
                <c:pt idx="74">
                  <c:v>114.447353187005</c:v>
                </c:pt>
                <c:pt idx="75">
                  <c:v>106.733984624126</c:v>
                </c:pt>
                <c:pt idx="76">
                  <c:v>99.5404712866424</c:v>
                </c:pt>
                <c:pt idx="77">
                  <c:v>92.8317766722558</c:v>
                </c:pt>
                <c:pt idx="78">
                  <c:v>86.5752256216613</c:v>
                </c:pt>
                <c:pt idx="79">
                  <c:v>80.7403451719312</c:v>
                </c:pt>
                <c:pt idx="80">
                  <c:v>75.2987161358495</c:v>
                </c:pt>
                <c:pt idx="81">
                  <c:v>70.2238346843027</c:v>
                </c:pt>
                <c:pt idx="82">
                  <c:v>65.4909832575547</c:v>
                </c:pt>
                <c:pt idx="83">
                  <c:v>61.0771101766684</c:v>
                </c:pt>
                <c:pt idx="84">
                  <c:v>56.9607173687161</c:v>
                </c:pt>
                <c:pt idx="85">
                  <c:v>53.1217556589338</c:v>
                </c:pt>
                <c:pt idx="86">
                  <c:v>49.5415271198343</c:v>
                </c:pt>
                <c:pt idx="87">
                  <c:v>46.2025940016632</c:v>
                </c:pt>
                <c:pt idx="88">
                  <c:v>43.0886938006377</c:v>
                </c:pt>
                <c:pt idx="89">
                  <c:v>40.184660051301</c:v>
                </c:pt>
                <c:pt idx="90">
                  <c:v>37.4763484572077</c:v>
                </c:pt>
                <c:pt idx="91">
                  <c:v>34.9505680001537</c:v>
                </c:pt>
                <c:pt idx="92">
                  <c:v>32.5950166924129</c:v>
                </c:pt>
                <c:pt idx="93">
                  <c:v>30.3982216590587</c:v>
                </c:pt>
                <c:pt idx="94">
                  <c:v>28.3494832585361</c:v>
                </c:pt>
                <c:pt idx="95">
                  <c:v>26.4388229693206</c:v>
                </c:pt>
                <c:pt idx="96">
                  <c:v>24.6569347888413</c:v>
                </c:pt>
                <c:pt idx="97">
                  <c:v>22.9951399079547</c:v>
                </c:pt>
                <c:pt idx="98">
                  <c:v>21.4453444402065</c:v>
                </c:pt>
                <c:pt idx="99">
                  <c:v>20</c:v>
                </c:pt>
              </c:numCache>
            </c:numRef>
          </c:xVal>
          <c:yVal>
            <c:numRef>
              <c:f>'BOARD_1 Gain'!$K$5:$K$104</c:f>
              <c:numCache>
                <c:formatCode>General</c:formatCode>
                <c:ptCount val="100"/>
                <c:pt idx="0">
                  <c:v>0.999792353407843</c:v>
                </c:pt>
                <c:pt idx="1">
                  <c:v>0.999821726495626</c:v>
                </c:pt>
                <c:pt idx="2">
                  <c:v>0.999846253725556</c:v>
                </c:pt>
                <c:pt idx="3">
                  <c:v>0.999838338044301</c:v>
                </c:pt>
                <c:pt idx="4">
                  <c:v>0.999795581520403</c:v>
                </c:pt>
                <c:pt idx="5">
                  <c:v>0.999738632022857</c:v>
                </c:pt>
                <c:pt idx="6">
                  <c:v>0.999677390682718</c:v>
                </c:pt>
                <c:pt idx="7">
                  <c:v>0.999627479716804</c:v>
                </c:pt>
                <c:pt idx="8">
                  <c:v>0.999590875211064</c:v>
                </c:pt>
                <c:pt idx="9">
                  <c:v>0.999571484294485</c:v>
                </c:pt>
                <c:pt idx="10">
                  <c:v>0.999572027380417</c:v>
                </c:pt>
                <c:pt idx="11">
                  <c:v>0.999581942525167</c:v>
                </c:pt>
                <c:pt idx="12">
                  <c:v>0.999601515499141</c:v>
                </c:pt>
                <c:pt idx="13">
                  <c:v>0.999622732463012</c:v>
                </c:pt>
                <c:pt idx="14">
                  <c:v>0.999640830757634</c:v>
                </c:pt>
                <c:pt idx="15">
                  <c:v>0.999656792725154</c:v>
                </c:pt>
                <c:pt idx="16">
                  <c:v>0.999666969765168</c:v>
                </c:pt>
                <c:pt idx="17">
                  <c:v>0.999674682627904</c:v>
                </c:pt>
                <c:pt idx="18">
                  <c:v>0.999677511699653</c:v>
                </c:pt>
                <c:pt idx="19">
                  <c:v>0.999675313407759</c:v>
                </c:pt>
                <c:pt idx="20">
                  <c:v>0.999671893581529</c:v>
                </c:pt>
                <c:pt idx="21">
                  <c:v>0.99966087704846</c:v>
                </c:pt>
                <c:pt idx="22">
                  <c:v>0.999654932641788</c:v>
                </c:pt>
                <c:pt idx="23">
                  <c:v>0.999641219081863</c:v>
                </c:pt>
                <c:pt idx="24">
                  <c:v>0.999632290173414</c:v>
                </c:pt>
                <c:pt idx="25">
                  <c:v>0.999619476280133</c:v>
                </c:pt>
                <c:pt idx="26">
                  <c:v>0.999606362050321</c:v>
                </c:pt>
                <c:pt idx="27">
                  <c:v>0.999594929857083</c:v>
                </c:pt>
                <c:pt idx="28">
                  <c:v>0.999583767153916</c:v>
                </c:pt>
                <c:pt idx="29">
                  <c:v>0.999575916181714</c:v>
                </c:pt>
                <c:pt idx="30">
                  <c:v>0.999566014046244</c:v>
                </c:pt>
                <c:pt idx="31">
                  <c:v>0.99956150885627</c:v>
                </c:pt>
                <c:pt idx="32">
                  <c:v>0.999551086140978</c:v>
                </c:pt>
                <c:pt idx="33">
                  <c:v>0.999546284692571</c:v>
                </c:pt>
                <c:pt idx="34">
                  <c:v>0.99953945965772</c:v>
                </c:pt>
                <c:pt idx="35">
                  <c:v>0.99953572425615</c:v>
                </c:pt>
                <c:pt idx="36">
                  <c:v>0.999531573541922</c:v>
                </c:pt>
                <c:pt idx="37">
                  <c:v>0.999523341006133</c:v>
                </c:pt>
                <c:pt idx="38">
                  <c:v>0.999523982603654</c:v>
                </c:pt>
                <c:pt idx="39">
                  <c:v>0.999518857007119</c:v>
                </c:pt>
                <c:pt idx="40">
                  <c:v>0.999518198707298</c:v>
                </c:pt>
                <c:pt idx="41">
                  <c:v>0.999514164378673</c:v>
                </c:pt>
                <c:pt idx="42">
                  <c:v>0.999514162621386</c:v>
                </c:pt>
                <c:pt idx="43">
                  <c:v>0.999514003868165</c:v>
                </c:pt>
                <c:pt idx="44">
                  <c:v>0.999512362944757</c:v>
                </c:pt>
                <c:pt idx="45">
                  <c:v>0.999511445995376</c:v>
                </c:pt>
                <c:pt idx="46">
                  <c:v>0.999510542788993</c:v>
                </c:pt>
                <c:pt idx="47">
                  <c:v>0.999510527567451</c:v>
                </c:pt>
                <c:pt idx="48">
                  <c:v>0.999508372547115</c:v>
                </c:pt>
                <c:pt idx="49">
                  <c:v>0.999507145858083</c:v>
                </c:pt>
                <c:pt idx="50">
                  <c:v>0.999508094760234</c:v>
                </c:pt>
                <c:pt idx="51">
                  <c:v>0.999505769889123</c:v>
                </c:pt>
                <c:pt idx="52">
                  <c:v>0.999506305011228</c:v>
                </c:pt>
                <c:pt idx="53">
                  <c:v>0.999507907791903</c:v>
                </c:pt>
                <c:pt idx="54">
                  <c:v>0.99950331808946</c:v>
                </c:pt>
                <c:pt idx="55">
                  <c:v>0.999507402221608</c:v>
                </c:pt>
                <c:pt idx="56">
                  <c:v>0.999508124315376</c:v>
                </c:pt>
                <c:pt idx="57">
                  <c:v>0.999507401538418</c:v>
                </c:pt>
                <c:pt idx="58">
                  <c:v>0.999506484733591</c:v>
                </c:pt>
                <c:pt idx="59">
                  <c:v>0.999501812603543</c:v>
                </c:pt>
                <c:pt idx="60">
                  <c:v>0.99950507008711</c:v>
                </c:pt>
                <c:pt idx="61">
                  <c:v>0.999503424273546</c:v>
                </c:pt>
                <c:pt idx="62">
                  <c:v>0.999504790685459</c:v>
                </c:pt>
                <c:pt idx="63">
                  <c:v>0.999505323439157</c:v>
                </c:pt>
                <c:pt idx="64">
                  <c:v>0.999502739006493</c:v>
                </c:pt>
                <c:pt idx="65">
                  <c:v>0.999500883091322</c:v>
                </c:pt>
                <c:pt idx="66">
                  <c:v>0.999501374095054</c:v>
                </c:pt>
                <c:pt idx="67">
                  <c:v>0.999497830188876</c:v>
                </c:pt>
                <c:pt idx="68">
                  <c:v>0.99950077948773</c:v>
                </c:pt>
                <c:pt idx="69">
                  <c:v>0.999492816033639</c:v>
                </c:pt>
                <c:pt idx="70">
                  <c:v>0.999491713158155</c:v>
                </c:pt>
                <c:pt idx="71">
                  <c:v>0.999482941429316</c:v>
                </c:pt>
                <c:pt idx="72">
                  <c:v>0.999480968700292</c:v>
                </c:pt>
                <c:pt idx="73">
                  <c:v>0.99947536973282</c:v>
                </c:pt>
                <c:pt idx="74">
                  <c:v>0.999471226978972</c:v>
                </c:pt>
                <c:pt idx="75">
                  <c:v>0.999464477895294</c:v>
                </c:pt>
                <c:pt idx="76">
                  <c:v>0.999457485855173</c:v>
                </c:pt>
                <c:pt idx="77">
                  <c:v>0.999445905595865</c:v>
                </c:pt>
                <c:pt idx="78">
                  <c:v>0.999438126108507</c:v>
                </c:pt>
                <c:pt idx="79">
                  <c:v>0.999436604169756</c:v>
                </c:pt>
                <c:pt idx="80">
                  <c:v>0.999499091428868</c:v>
                </c:pt>
                <c:pt idx="81">
                  <c:v>0.999494976362353</c:v>
                </c:pt>
                <c:pt idx="82">
                  <c:v>0.999487783263533</c:v>
                </c:pt>
                <c:pt idx="83">
                  <c:v>0.999487986197241</c:v>
                </c:pt>
                <c:pt idx="84">
                  <c:v>0.999480944607682</c:v>
                </c:pt>
                <c:pt idx="85">
                  <c:v>0.99947341061397</c:v>
                </c:pt>
                <c:pt idx="86">
                  <c:v>0.999465928185524</c:v>
                </c:pt>
                <c:pt idx="87">
                  <c:v>0.999458408756928</c:v>
                </c:pt>
                <c:pt idx="88">
                  <c:v>0.999446809172522</c:v>
                </c:pt>
                <c:pt idx="89">
                  <c:v>0.999431803224791</c:v>
                </c:pt>
                <c:pt idx="90">
                  <c:v>0.999418404529172</c:v>
                </c:pt>
                <c:pt idx="91">
                  <c:v>0.999392770613792</c:v>
                </c:pt>
                <c:pt idx="92">
                  <c:v>0.999392769949773</c:v>
                </c:pt>
                <c:pt idx="93">
                  <c:v>0.999360519335537</c:v>
                </c:pt>
                <c:pt idx="94">
                  <c:v>0.999329477777428</c:v>
                </c:pt>
                <c:pt idx="95">
                  <c:v>0.999316936335951</c:v>
                </c:pt>
                <c:pt idx="96">
                  <c:v>0.999271796349543</c:v>
                </c:pt>
                <c:pt idx="97">
                  <c:v>0.999235028042929</c:v>
                </c:pt>
                <c:pt idx="98">
                  <c:v>0.999180028622496</c:v>
                </c:pt>
                <c:pt idx="99">
                  <c:v>0.999150456226303</c:v>
                </c:pt>
              </c:numCache>
            </c:numRef>
          </c:yVal>
          <c:smooth val="1"/>
          <c:extLst>
            <c:ext xmlns:sm="smo" uri="smo">
              <sm:meanLine>
                <c:spPr>
                  <a:ln>
                    <a:noFill/>
                  </a:ln>
                </c:spPr>
              </sm:meanLine>
              <sm:minMaxLine>
                <c:spPr>
                  <a:ln>
                    <a:noFill/>
                  </a:ln>
                </c:spPr>
              </sm:minMaxLine>
              <sm:stDevLine>
                <c:spPr>
                  <a:ln>
                    <a:noFill/>
                  </a:ln>
                </c:spPr>
              </sm:stDevLine>
              <sm:trendLine>
                <c:spPr>
                  <a:ln>
                    <a:noFill/>
                  </a:ln>
                </c:spPr>
              </sm:trendLine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10"/>
        <c:axId val="11"/>
      </c:scatterChart>
      <c:valAx>
        <c:axId val="10"/>
        <c:scaling>
          <c:logBase val="10"/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lang="es-mx" sz="1090" b="0" i="0" u="none" strike="noStrike">
                <a:solidFill>
                  <a:srgbClr val="000000"/>
                </a:solidFill>
                <a:latin typeface="Arial"/>
              </a:defRPr>
            </a:pPr>
          </a:p>
        </c:txPr>
        <c:crossAx val="11"/>
        <c:crosses val="autoZero"/>
      </c:valAx>
      <c:valAx>
        <c:axId val="11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lang="es-mx" sz="1090" b="0" i="0" u="none" strike="noStrike">
                <a:solidFill>
                  <a:srgbClr val="000000"/>
                </a:solidFill>
                <a:latin typeface="Arial"/>
              </a:defRPr>
            </a:pPr>
          </a:p>
        </c:txPr>
        <c:crossAx val="10"/>
        <c:crosses val="autoZero"/>
      </c:valAx>
    </c:plotArea>
    <c:legend>
      <c:legendPos val="t"/>
      <c:layout>
        <c:manualLayout>
          <c:xMode val="edge"/>
          <c:yMode val="edge"/>
          <c:wMode val="factor"/>
          <c:hMode val="factor"/>
          <c:x val="0.411000"/>
          <c:y val="0.129000"/>
          <c:w val="0.189500"/>
          <c:h val="0.064000"/>
        </c:manualLayout>
      </c:layout>
      <c:overlay val="0"/>
      <c:txPr>
        <a:bodyPr anchor="t" numCol="2"/>
        <a:lstStyle/>
        <a:p>
          <a:pPr>
            <a:defRPr lang="es-mx" sz="1090" b="0" i="0" u="none" strike="noStrike">
              <a:solidFill>
                <a:srgbClr val="000000"/>
              </a:solidFill>
              <a:latin typeface="Arial"/>
            </a:defRPr>
          </a:pPr>
        </a:p>
      </c:txPr>
    </c:legend>
    <c:plotVisOnly val="1"/>
    <c:dispBlanksAs val="gap"/>
  </c:chart>
  <c:spPr/>
  <c:txPr>
    <a:bodyPr anchor="ctr" anchorCtr="1" rot="0"/>
    <a:lstStyle/>
    <a:p>
      <a:pPr>
        <a:defRPr lang="es-mx" sz="1950" b="0" i="0" u="none" strike="noStrike">
          <a:solidFill>
            <a:srgbClr val="000000"/>
          </a:solidFill>
          <a:latin typeface="Arial"/>
        </a:defRPr>
      </a:pPr>
    </a:p>
  </c:txPr>
  <c:extLst>
    <c:ext xmlns:sm="smo" uri="smo">
      <sm:colorScheme xmlns:sm="smo" id="1718654535" val="7"/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style val="2"/>
  <c:chart>
    <c:title>
      <c:tx>
        <c:rich>
          <a:bodyPr/>
          <a:lstStyle/>
          <a:p>
            <a:pPr>
              <a:defRPr lang="es-mx" sz="1400" b="1" i="0" u="none" strike="noStrike">
                <a:solidFill>
                  <a:srgbClr val="000000"/>
                </a:solidFill>
                <a:latin typeface="Arial"/>
              </a:defRPr>
            </a:pPr>
            <a:r>
              <a:t>Gain &amp; Phase (board_1)</a:t>
            </a:r>
          </a:p>
        </c:rich>
      </c:tx>
      <c:layout/>
      <c:overlay val="0"/>
      <c:spPr>
        <a:noFill/>
        <a:ln>
          <a:noFill/>
        </a:ln>
      </c:spPr>
    </c:title>
    <c:plotArea>
      <c:layout>
        <c:manualLayout>
          <c:xMode val="edge"/>
          <c:yMode val="edge"/>
          <c:wMode val="factor"/>
          <c:hMode val="factor"/>
          <c:x val="0.144750"/>
          <c:y val="0.175750"/>
          <c:w val="0.774500"/>
          <c:h val="0.695500"/>
        </c:manualLayout>
      </c:layout>
      <c:scatterChart>
        <c:scatterStyle val="smoothMarker"/>
        <c:varyColors val="0"/>
        <c:ser>
          <c:idx val="0"/>
          <c:order val="0"/>
          <c:tx>
            <c:v>Gain</c:v>
          </c:tx>
          <c:xVal>
            <c:numRef>
              <c:f>'BOARD_1 Gain'!$M$5:$M$104</c:f>
              <c:numCache>
                <c:formatCode>0</c:formatCode>
                <c:ptCount val="100"/>
                <c:pt idx="0">
                  <c:v>20000</c:v>
                </c:pt>
                <c:pt idx="1">
                  <c:v>18652.0669376646</c:v>
                </c:pt>
                <c:pt idx="2">
                  <c:v>17394.9800523558</c:v>
                </c:pt>
                <c:pt idx="3">
                  <c:v>16222.6166157939</c:v>
                </c:pt>
                <c:pt idx="4">
                  <c:v>15129.2665510927</c:v>
                </c:pt>
                <c:pt idx="5">
                  <c:v>14109.6046214374</c:v>
                </c:pt>
                <c:pt idx="6">
                  <c:v>13158.6644931515</c:v>
                </c:pt>
                <c:pt idx="7">
                  <c:v>12271.8145468264</c:v>
                </c:pt>
                <c:pt idx="8">
                  <c:v>11444.7353187005</c:v>
                </c:pt>
                <c:pt idx="9">
                  <c:v>10673.3984624127</c:v>
                </c:pt>
                <c:pt idx="10">
                  <c:v>9954.0471286643</c:v>
                </c:pt>
                <c:pt idx="11">
                  <c:v>9283.17766722563</c:v>
                </c:pt>
                <c:pt idx="12">
                  <c:v>8657.52256216619</c:v>
                </c:pt>
                <c:pt idx="13">
                  <c:v>8074.03451719317</c:v>
                </c:pt>
                <c:pt idx="14">
                  <c:v>7529.871613585</c:v>
                </c:pt>
                <c:pt idx="15">
                  <c:v>7022.38346843032</c:v>
                </c:pt>
                <c:pt idx="16">
                  <c:v>6549.09832575551</c:v>
                </c:pt>
                <c:pt idx="17">
                  <c:v>6107.71101766688</c:v>
                </c:pt>
                <c:pt idx="18">
                  <c:v>5696.07173687165</c:v>
                </c:pt>
                <c:pt idx="19">
                  <c:v>5312.17556589341</c:v>
                </c:pt>
                <c:pt idx="20">
                  <c:v>4954.15271198346</c:v>
                </c:pt>
                <c:pt idx="21">
                  <c:v>4620.25940016635</c:v>
                </c:pt>
                <c:pt idx="22">
                  <c:v>4308.8693800638</c:v>
                </c:pt>
                <c:pt idx="23">
                  <c:v>4018.46600513012</c:v>
                </c:pt>
                <c:pt idx="24">
                  <c:v>3747.63484572079</c:v>
                </c:pt>
                <c:pt idx="25">
                  <c:v>3495.05680001539</c:v>
                </c:pt>
                <c:pt idx="26">
                  <c:v>3259.50166924131</c:v>
                </c:pt>
                <c:pt idx="27">
                  <c:v>3039.82216590589</c:v>
                </c:pt>
                <c:pt idx="28">
                  <c:v>2834.94832585363</c:v>
                </c:pt>
                <c:pt idx="29">
                  <c:v>2643.88229693208</c:v>
                </c:pt>
                <c:pt idx="30">
                  <c:v>2465.69347888415</c:v>
                </c:pt>
                <c:pt idx="31">
                  <c:v>2299.51399079549</c:v>
                </c:pt>
                <c:pt idx="32">
                  <c:v>2144.53444402066</c:v>
                </c:pt>
                <c:pt idx="33">
                  <c:v>2000.00000000001</c:v>
                </c:pt>
                <c:pt idx="34">
                  <c:v>1865.20669376645</c:v>
                </c:pt>
                <c:pt idx="35">
                  <c:v>1739.49800523558</c:v>
                </c:pt>
                <c:pt idx="36">
                  <c:v>1622.26166157938</c:v>
                </c:pt>
                <c:pt idx="37">
                  <c:v>1512.92665510927</c:v>
                </c:pt>
                <c:pt idx="38">
                  <c:v>1410.96046214374</c:v>
                </c:pt>
                <c:pt idx="39">
                  <c:v>1315.86644931514</c:v>
                </c:pt>
                <c:pt idx="40">
                  <c:v>1227.18145468264</c:v>
                </c:pt>
                <c:pt idx="41">
                  <c:v>1144.47353187005</c:v>
                </c:pt>
                <c:pt idx="42">
                  <c:v>1067.33984624127</c:v>
                </c:pt>
                <c:pt idx="43">
                  <c:v>995.404712866427</c:v>
                </c:pt>
                <c:pt idx="44">
                  <c:v>928.31776672256</c:v>
                </c:pt>
                <c:pt idx="45">
                  <c:v>865.752256216616</c:v>
                </c:pt>
                <c:pt idx="46">
                  <c:v>807.403451719315</c:v>
                </c:pt>
                <c:pt idx="47">
                  <c:v>752.987161358497</c:v>
                </c:pt>
                <c:pt idx="48">
                  <c:v>702.238346843029</c:v>
                </c:pt>
                <c:pt idx="49">
                  <c:v>654.909832575548</c:v>
                </c:pt>
                <c:pt idx="50">
                  <c:v>610.771101766686</c:v>
                </c:pt>
                <c:pt idx="51">
                  <c:v>569.607173687163</c:v>
                </c:pt>
                <c:pt idx="52">
                  <c:v>531.217556589339</c:v>
                </c:pt>
                <c:pt idx="53">
                  <c:v>495.415271198344</c:v>
                </c:pt>
                <c:pt idx="54">
                  <c:v>462.025940016634</c:v>
                </c:pt>
                <c:pt idx="55">
                  <c:v>430.886938006378</c:v>
                </c:pt>
                <c:pt idx="56">
                  <c:v>401.846600513011</c:v>
                </c:pt>
                <c:pt idx="57">
                  <c:v>374.763484572078</c:v>
                </c:pt>
                <c:pt idx="58">
                  <c:v>349.505680001538</c:v>
                </c:pt>
                <c:pt idx="59">
                  <c:v>325.95016692413</c:v>
                </c:pt>
                <c:pt idx="60">
                  <c:v>303.982216590588</c:v>
                </c:pt>
                <c:pt idx="61">
                  <c:v>283.494832585362</c:v>
                </c:pt>
                <c:pt idx="62">
                  <c:v>264.388229693207</c:v>
                </c:pt>
                <c:pt idx="63">
                  <c:v>246.569347888414</c:v>
                </c:pt>
                <c:pt idx="64">
                  <c:v>229.951399079548</c:v>
                </c:pt>
                <c:pt idx="65">
                  <c:v>214.453444402065</c:v>
                </c:pt>
                <c:pt idx="66">
                  <c:v>200.000000000001</c:v>
                </c:pt>
                <c:pt idx="67">
                  <c:v>186.520669376644</c:v>
                </c:pt>
                <c:pt idx="68">
                  <c:v>173.949800523557</c:v>
                </c:pt>
                <c:pt idx="69">
                  <c:v>162.226166157938</c:v>
                </c:pt>
                <c:pt idx="70">
                  <c:v>151.292665510926</c:v>
                </c:pt>
                <c:pt idx="71">
                  <c:v>141.096046214373</c:v>
                </c:pt>
                <c:pt idx="72">
                  <c:v>131.586644931514</c:v>
                </c:pt>
                <c:pt idx="73">
                  <c:v>122.718145468264</c:v>
                </c:pt>
                <c:pt idx="74">
                  <c:v>114.447353187005</c:v>
                </c:pt>
                <c:pt idx="75">
                  <c:v>106.733984624126</c:v>
                </c:pt>
                <c:pt idx="76">
                  <c:v>99.5404712866424</c:v>
                </c:pt>
                <c:pt idx="77">
                  <c:v>92.8317766722558</c:v>
                </c:pt>
                <c:pt idx="78">
                  <c:v>86.5752256216613</c:v>
                </c:pt>
                <c:pt idx="79">
                  <c:v>80.7403451719312</c:v>
                </c:pt>
                <c:pt idx="80">
                  <c:v>75.2987161358495</c:v>
                </c:pt>
                <c:pt idx="81">
                  <c:v>70.2238346843027</c:v>
                </c:pt>
                <c:pt idx="82">
                  <c:v>65.4909832575547</c:v>
                </c:pt>
                <c:pt idx="83">
                  <c:v>61.0771101766684</c:v>
                </c:pt>
                <c:pt idx="84">
                  <c:v>56.9607173687161</c:v>
                </c:pt>
                <c:pt idx="85">
                  <c:v>53.1217556589338</c:v>
                </c:pt>
                <c:pt idx="86">
                  <c:v>49.5415271198343</c:v>
                </c:pt>
                <c:pt idx="87">
                  <c:v>46.2025940016632</c:v>
                </c:pt>
                <c:pt idx="88">
                  <c:v>43.0886938006377</c:v>
                </c:pt>
                <c:pt idx="89">
                  <c:v>40.184660051301</c:v>
                </c:pt>
                <c:pt idx="90">
                  <c:v>37.4763484572077</c:v>
                </c:pt>
                <c:pt idx="91">
                  <c:v>34.9505680001537</c:v>
                </c:pt>
                <c:pt idx="92">
                  <c:v>32.5950166924129</c:v>
                </c:pt>
                <c:pt idx="93">
                  <c:v>30.3982216590587</c:v>
                </c:pt>
                <c:pt idx="94">
                  <c:v>28.3494832585361</c:v>
                </c:pt>
                <c:pt idx="95">
                  <c:v>26.4388229693206</c:v>
                </c:pt>
                <c:pt idx="96">
                  <c:v>24.6569347888413</c:v>
                </c:pt>
                <c:pt idx="97">
                  <c:v>22.9951399079547</c:v>
                </c:pt>
                <c:pt idx="98">
                  <c:v>21.4453444402065</c:v>
                </c:pt>
                <c:pt idx="99">
                  <c:v>20</c:v>
                </c:pt>
              </c:numCache>
            </c:numRef>
          </c:xVal>
          <c:yVal>
            <c:numRef>
              <c:f>'BOARD_1 Gain'!$N$5:$N$104</c:f>
              <c:numCache>
                <c:formatCode>General</c:formatCode>
                <c:ptCount val="100"/>
                <c:pt idx="0">
                  <c:v>1.00163223311747</c:v>
                </c:pt>
                <c:pt idx="1">
                  <c:v>1.00138321238164</c:v>
                </c:pt>
                <c:pt idx="2">
                  <c:v>1.00116453865444</c:v>
                </c:pt>
                <c:pt idx="3">
                  <c:v>1.00097531933209</c:v>
                </c:pt>
                <c:pt idx="4">
                  <c:v>1.0008113918063</c:v>
                </c:pt>
                <c:pt idx="5">
                  <c:v>1.00066501332611</c:v>
                </c:pt>
                <c:pt idx="6">
                  <c:v>1.00053965683877</c:v>
                </c:pt>
                <c:pt idx="7">
                  <c:v>1.00042800860001</c:v>
                </c:pt>
                <c:pt idx="8">
                  <c:v>1.00033437843869</c:v>
                </c:pt>
                <c:pt idx="9">
                  <c:v>1.00025233668879</c:v>
                </c:pt>
                <c:pt idx="10">
                  <c:v>1.00017590190237</c:v>
                </c:pt>
                <c:pt idx="11">
                  <c:v>1.00011320601955</c:v>
                </c:pt>
                <c:pt idx="12">
                  <c:v>1.00005752781992</c:v>
                </c:pt>
                <c:pt idx="13">
                  <c:v>1.00000850083089</c:v>
                </c:pt>
                <c:pt idx="14">
                  <c:v>0.999964357182118</c:v>
                </c:pt>
                <c:pt idx="15">
                  <c:v>0.999929567481248</c:v>
                </c:pt>
                <c:pt idx="16">
                  <c:v>0.999901373965038</c:v>
                </c:pt>
                <c:pt idx="17">
                  <c:v>0.999872204440908</c:v>
                </c:pt>
                <c:pt idx="18">
                  <c:v>0.999845087098382</c:v>
                </c:pt>
                <c:pt idx="19">
                  <c:v>0.999824954763603</c:v>
                </c:pt>
                <c:pt idx="20">
                  <c:v>0.999805575799821</c:v>
                </c:pt>
                <c:pt idx="21">
                  <c:v>0.999792647963604</c:v>
                </c:pt>
                <c:pt idx="22">
                  <c:v>0.999780006623556</c:v>
                </c:pt>
                <c:pt idx="23">
                  <c:v>0.999768018947145</c:v>
                </c:pt>
                <c:pt idx="24">
                  <c:v>0.99975558826749</c:v>
                </c:pt>
                <c:pt idx="25">
                  <c:v>0.999744660929542</c:v>
                </c:pt>
                <c:pt idx="26">
                  <c:v>0.999740084474025</c:v>
                </c:pt>
                <c:pt idx="27">
                  <c:v>0.999737058621489</c:v>
                </c:pt>
                <c:pt idx="28">
                  <c:v>0.999728375949558</c:v>
                </c:pt>
                <c:pt idx="29">
                  <c:v>0.999722335614372</c:v>
                </c:pt>
                <c:pt idx="30">
                  <c:v>0.999718330361097</c:v>
                </c:pt>
                <c:pt idx="31">
                  <c:v>0.999710991461863</c:v>
                </c:pt>
                <c:pt idx="32">
                  <c:v>0.999708690303809</c:v>
                </c:pt>
                <c:pt idx="33">
                  <c:v>0.999704109432104</c:v>
                </c:pt>
                <c:pt idx="34">
                  <c:v>0.999706457114051</c:v>
                </c:pt>
                <c:pt idx="35">
                  <c:v>0.999701592087816</c:v>
                </c:pt>
                <c:pt idx="36">
                  <c:v>0.999700958228141</c:v>
                </c:pt>
                <c:pt idx="37">
                  <c:v>0.999704491007533</c:v>
                </c:pt>
                <c:pt idx="38">
                  <c:v>0.999695589122051</c:v>
                </c:pt>
                <c:pt idx="39">
                  <c:v>0.999697539765325</c:v>
                </c:pt>
                <c:pt idx="40">
                  <c:v>0.999695493093094</c:v>
                </c:pt>
                <c:pt idx="41">
                  <c:v>0.999695514657601</c:v>
                </c:pt>
                <c:pt idx="42">
                  <c:v>0.999691435365979</c:v>
                </c:pt>
                <c:pt idx="43">
                  <c:v>0.999689760965262</c:v>
                </c:pt>
                <c:pt idx="44">
                  <c:v>0.999690492701738</c:v>
                </c:pt>
                <c:pt idx="45">
                  <c:v>0.999686633880302</c:v>
                </c:pt>
                <c:pt idx="46">
                  <c:v>0.999685689450117</c:v>
                </c:pt>
                <c:pt idx="47">
                  <c:v>0.999688665559631</c:v>
                </c:pt>
                <c:pt idx="48">
                  <c:v>0.99969036898951</c:v>
                </c:pt>
                <c:pt idx="49">
                  <c:v>0.999689237526809</c:v>
                </c:pt>
                <c:pt idx="50">
                  <c:v>0.999687147717804</c:v>
                </c:pt>
                <c:pt idx="51">
                  <c:v>0.999689065719568</c:v>
                </c:pt>
                <c:pt idx="52">
                  <c:v>0.999688652801882</c:v>
                </c:pt>
                <c:pt idx="53">
                  <c:v>0.999686721572098</c:v>
                </c:pt>
                <c:pt idx="54">
                  <c:v>0.999688388911797</c:v>
                </c:pt>
                <c:pt idx="55">
                  <c:v>0.999689788081861</c:v>
                </c:pt>
                <c:pt idx="56">
                  <c:v>0.999686778309072</c:v>
                </c:pt>
                <c:pt idx="57">
                  <c:v>0.999682814808925</c:v>
                </c:pt>
                <c:pt idx="58">
                  <c:v>0.999689114406108</c:v>
                </c:pt>
                <c:pt idx="59">
                  <c:v>0.99969030293449</c:v>
                </c:pt>
                <c:pt idx="60">
                  <c:v>0.999689674757422</c:v>
                </c:pt>
                <c:pt idx="61">
                  <c:v>0.999691616809511</c:v>
                </c:pt>
                <c:pt idx="62">
                  <c:v>0.999688732866576</c:v>
                </c:pt>
                <c:pt idx="63">
                  <c:v>0.999685647733326</c:v>
                </c:pt>
                <c:pt idx="64">
                  <c:v>0.999689564000864</c:v>
                </c:pt>
                <c:pt idx="65">
                  <c:v>0.999692586404953</c:v>
                </c:pt>
                <c:pt idx="66">
                  <c:v>0.99968407519924</c:v>
                </c:pt>
                <c:pt idx="67">
                  <c:v>0.999687590191929</c:v>
                </c:pt>
                <c:pt idx="68">
                  <c:v>0.999684389467272</c:v>
                </c:pt>
                <c:pt idx="69">
                  <c:v>0.999687273671442</c:v>
                </c:pt>
                <c:pt idx="70">
                  <c:v>0.999686919992788</c:v>
                </c:pt>
                <c:pt idx="71">
                  <c:v>0.999694451378504</c:v>
                </c:pt>
                <c:pt idx="72">
                  <c:v>0.999689216434856</c:v>
                </c:pt>
                <c:pt idx="73">
                  <c:v>0.99969369703002</c:v>
                </c:pt>
                <c:pt idx="74">
                  <c:v>0.999689401716457</c:v>
                </c:pt>
                <c:pt idx="75">
                  <c:v>0.99968764161526</c:v>
                </c:pt>
                <c:pt idx="76">
                  <c:v>0.999682928123415</c:v>
                </c:pt>
                <c:pt idx="77">
                  <c:v>0.99969120945897</c:v>
                </c:pt>
                <c:pt idx="78">
                  <c:v>0.999692025423887</c:v>
                </c:pt>
                <c:pt idx="79">
                  <c:v>0.999685687552058</c:v>
                </c:pt>
                <c:pt idx="80">
                  <c:v>0.999683160506841</c:v>
                </c:pt>
                <c:pt idx="81">
                  <c:v>0.999685676743428</c:v>
                </c:pt>
                <c:pt idx="82">
                  <c:v>0.999688880798166</c:v>
                </c:pt>
                <c:pt idx="83">
                  <c:v>0.999682207681355</c:v>
                </c:pt>
                <c:pt idx="84">
                  <c:v>0.99968454434399</c:v>
                </c:pt>
                <c:pt idx="85">
                  <c:v>0.999681248859123</c:v>
                </c:pt>
                <c:pt idx="86">
                  <c:v>0.999682462318072</c:v>
                </c:pt>
                <c:pt idx="87">
                  <c:v>0.999684024878603</c:v>
                </c:pt>
                <c:pt idx="88">
                  <c:v>0.999680340696245</c:v>
                </c:pt>
                <c:pt idx="89">
                  <c:v>0.99969035855249</c:v>
                </c:pt>
                <c:pt idx="90">
                  <c:v>0.99969098630659</c:v>
                </c:pt>
                <c:pt idx="91">
                  <c:v>0.999689727220287</c:v>
                </c:pt>
                <c:pt idx="92">
                  <c:v>0.999681508482149</c:v>
                </c:pt>
                <c:pt idx="93">
                  <c:v>0.999686937413621</c:v>
                </c:pt>
                <c:pt idx="94">
                  <c:v>0.999683271185282</c:v>
                </c:pt>
                <c:pt idx="95">
                  <c:v>0.999668799920467</c:v>
                </c:pt>
                <c:pt idx="96">
                  <c:v>0.999684207486725</c:v>
                </c:pt>
                <c:pt idx="97">
                  <c:v>0.999679800804621</c:v>
                </c:pt>
                <c:pt idx="98">
                  <c:v>0.99969683344683</c:v>
                </c:pt>
                <c:pt idx="99">
                  <c:v>0.999658563687225</c:v>
                </c:pt>
              </c:numCache>
            </c:numRef>
          </c:yVal>
          <c:smooth val="1"/>
          <c:extLst>
            <c:ext xmlns:sm="smo" uri="smo">
              <sm:meanLine>
                <c:spPr>
                  <a:ln>
                    <a:noFill/>
                  </a:ln>
                </c:spPr>
              </sm:meanLine>
              <sm:minMaxLine>
                <c:spPr>
                  <a:ln>
                    <a:noFill/>
                  </a:ln>
                </c:spPr>
              </sm:minMaxLine>
              <sm:stDevLine>
                <c:spPr>
                  <a:ln>
                    <a:noFill/>
                  </a:ln>
                </c:spPr>
              </sm:stDevLine>
              <sm:trendLine>
                <c:spPr>
                  <a:ln>
                    <a:noFill/>
                  </a:ln>
                </c:spPr>
              </sm:trendLine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10"/>
        <c:axId val="11"/>
      </c:scatterChart>
      <c:scatterChart>
        <c:scatterStyle val="smoothMarker"/>
        <c:varyColors val="0"/>
        <c:ser>
          <c:idx val="1"/>
          <c:order val="1"/>
          <c:tx>
            <c:v>Phase</c:v>
          </c:tx>
          <c:xVal>
            <c:numRef>
              <c:f>'BOARD_1 Gain'!$M$5:$M$104</c:f>
              <c:numCache>
                <c:formatCode>0</c:formatCode>
                <c:ptCount val="100"/>
                <c:pt idx="0">
                  <c:v>20000</c:v>
                </c:pt>
                <c:pt idx="1">
                  <c:v>18652.0669376646</c:v>
                </c:pt>
                <c:pt idx="2">
                  <c:v>17394.9800523558</c:v>
                </c:pt>
                <c:pt idx="3">
                  <c:v>16222.6166157939</c:v>
                </c:pt>
                <c:pt idx="4">
                  <c:v>15129.2665510927</c:v>
                </c:pt>
                <c:pt idx="5">
                  <c:v>14109.6046214374</c:v>
                </c:pt>
                <c:pt idx="6">
                  <c:v>13158.6644931515</c:v>
                </c:pt>
                <c:pt idx="7">
                  <c:v>12271.8145468264</c:v>
                </c:pt>
                <c:pt idx="8">
                  <c:v>11444.7353187005</c:v>
                </c:pt>
                <c:pt idx="9">
                  <c:v>10673.3984624127</c:v>
                </c:pt>
                <c:pt idx="10">
                  <c:v>9954.0471286643</c:v>
                </c:pt>
                <c:pt idx="11">
                  <c:v>9283.17766722563</c:v>
                </c:pt>
                <c:pt idx="12">
                  <c:v>8657.52256216619</c:v>
                </c:pt>
                <c:pt idx="13">
                  <c:v>8074.03451719317</c:v>
                </c:pt>
                <c:pt idx="14">
                  <c:v>7529.871613585</c:v>
                </c:pt>
                <c:pt idx="15">
                  <c:v>7022.38346843032</c:v>
                </c:pt>
                <c:pt idx="16">
                  <c:v>6549.09832575551</c:v>
                </c:pt>
                <c:pt idx="17">
                  <c:v>6107.71101766688</c:v>
                </c:pt>
                <c:pt idx="18">
                  <c:v>5696.07173687165</c:v>
                </c:pt>
                <c:pt idx="19">
                  <c:v>5312.17556589341</c:v>
                </c:pt>
                <c:pt idx="20">
                  <c:v>4954.15271198346</c:v>
                </c:pt>
                <c:pt idx="21">
                  <c:v>4620.25940016635</c:v>
                </c:pt>
                <c:pt idx="22">
                  <c:v>4308.8693800638</c:v>
                </c:pt>
                <c:pt idx="23">
                  <c:v>4018.46600513012</c:v>
                </c:pt>
                <c:pt idx="24">
                  <c:v>3747.63484572079</c:v>
                </c:pt>
                <c:pt idx="25">
                  <c:v>3495.05680001539</c:v>
                </c:pt>
                <c:pt idx="26">
                  <c:v>3259.50166924131</c:v>
                </c:pt>
                <c:pt idx="27">
                  <c:v>3039.82216590589</c:v>
                </c:pt>
                <c:pt idx="28">
                  <c:v>2834.94832585363</c:v>
                </c:pt>
                <c:pt idx="29">
                  <c:v>2643.88229693208</c:v>
                </c:pt>
                <c:pt idx="30">
                  <c:v>2465.69347888415</c:v>
                </c:pt>
                <c:pt idx="31">
                  <c:v>2299.51399079549</c:v>
                </c:pt>
                <c:pt idx="32">
                  <c:v>2144.53444402066</c:v>
                </c:pt>
                <c:pt idx="33">
                  <c:v>2000.00000000001</c:v>
                </c:pt>
                <c:pt idx="34">
                  <c:v>1865.20669376645</c:v>
                </c:pt>
                <c:pt idx="35">
                  <c:v>1739.49800523558</c:v>
                </c:pt>
                <c:pt idx="36">
                  <c:v>1622.26166157938</c:v>
                </c:pt>
                <c:pt idx="37">
                  <c:v>1512.92665510927</c:v>
                </c:pt>
                <c:pt idx="38">
                  <c:v>1410.96046214374</c:v>
                </c:pt>
                <c:pt idx="39">
                  <c:v>1315.86644931514</c:v>
                </c:pt>
                <c:pt idx="40">
                  <c:v>1227.18145468264</c:v>
                </c:pt>
                <c:pt idx="41">
                  <c:v>1144.47353187005</c:v>
                </c:pt>
                <c:pt idx="42">
                  <c:v>1067.33984624127</c:v>
                </c:pt>
                <c:pt idx="43">
                  <c:v>995.404712866427</c:v>
                </c:pt>
                <c:pt idx="44">
                  <c:v>928.31776672256</c:v>
                </c:pt>
                <c:pt idx="45">
                  <c:v>865.752256216616</c:v>
                </c:pt>
                <c:pt idx="46">
                  <c:v>807.403451719315</c:v>
                </c:pt>
                <c:pt idx="47">
                  <c:v>752.987161358497</c:v>
                </c:pt>
                <c:pt idx="48">
                  <c:v>702.238346843029</c:v>
                </c:pt>
                <c:pt idx="49">
                  <c:v>654.909832575548</c:v>
                </c:pt>
                <c:pt idx="50">
                  <c:v>610.771101766686</c:v>
                </c:pt>
                <c:pt idx="51">
                  <c:v>569.607173687163</c:v>
                </c:pt>
                <c:pt idx="52">
                  <c:v>531.217556589339</c:v>
                </c:pt>
                <c:pt idx="53">
                  <c:v>495.415271198344</c:v>
                </c:pt>
                <c:pt idx="54">
                  <c:v>462.025940016634</c:v>
                </c:pt>
                <c:pt idx="55">
                  <c:v>430.886938006378</c:v>
                </c:pt>
                <c:pt idx="56">
                  <c:v>401.846600513011</c:v>
                </c:pt>
                <c:pt idx="57">
                  <c:v>374.763484572078</c:v>
                </c:pt>
                <c:pt idx="58">
                  <c:v>349.505680001538</c:v>
                </c:pt>
                <c:pt idx="59">
                  <c:v>325.95016692413</c:v>
                </c:pt>
                <c:pt idx="60">
                  <c:v>303.982216590588</c:v>
                </c:pt>
                <c:pt idx="61">
                  <c:v>283.494832585362</c:v>
                </c:pt>
                <c:pt idx="62">
                  <c:v>264.388229693207</c:v>
                </c:pt>
                <c:pt idx="63">
                  <c:v>246.569347888414</c:v>
                </c:pt>
                <c:pt idx="64">
                  <c:v>229.951399079548</c:v>
                </c:pt>
                <c:pt idx="65">
                  <c:v>214.453444402065</c:v>
                </c:pt>
                <c:pt idx="66">
                  <c:v>200.000000000001</c:v>
                </c:pt>
                <c:pt idx="67">
                  <c:v>186.520669376644</c:v>
                </c:pt>
                <c:pt idx="68">
                  <c:v>173.949800523557</c:v>
                </c:pt>
                <c:pt idx="69">
                  <c:v>162.226166157938</c:v>
                </c:pt>
                <c:pt idx="70">
                  <c:v>151.292665510926</c:v>
                </c:pt>
                <c:pt idx="71">
                  <c:v>141.096046214373</c:v>
                </c:pt>
                <c:pt idx="72">
                  <c:v>131.586644931514</c:v>
                </c:pt>
                <c:pt idx="73">
                  <c:v>122.718145468264</c:v>
                </c:pt>
                <c:pt idx="74">
                  <c:v>114.447353187005</c:v>
                </c:pt>
                <c:pt idx="75">
                  <c:v>106.733984624126</c:v>
                </c:pt>
                <c:pt idx="76">
                  <c:v>99.5404712866424</c:v>
                </c:pt>
                <c:pt idx="77">
                  <c:v>92.8317766722558</c:v>
                </c:pt>
                <c:pt idx="78">
                  <c:v>86.5752256216613</c:v>
                </c:pt>
                <c:pt idx="79">
                  <c:v>80.7403451719312</c:v>
                </c:pt>
                <c:pt idx="80">
                  <c:v>75.2987161358495</c:v>
                </c:pt>
                <c:pt idx="81">
                  <c:v>70.2238346843027</c:v>
                </c:pt>
                <c:pt idx="82">
                  <c:v>65.4909832575547</c:v>
                </c:pt>
                <c:pt idx="83">
                  <c:v>61.0771101766684</c:v>
                </c:pt>
                <c:pt idx="84">
                  <c:v>56.9607173687161</c:v>
                </c:pt>
                <c:pt idx="85">
                  <c:v>53.1217556589338</c:v>
                </c:pt>
                <c:pt idx="86">
                  <c:v>49.5415271198343</c:v>
                </c:pt>
                <c:pt idx="87">
                  <c:v>46.2025940016632</c:v>
                </c:pt>
                <c:pt idx="88">
                  <c:v>43.0886938006377</c:v>
                </c:pt>
                <c:pt idx="89">
                  <c:v>40.184660051301</c:v>
                </c:pt>
                <c:pt idx="90">
                  <c:v>37.4763484572077</c:v>
                </c:pt>
                <c:pt idx="91">
                  <c:v>34.9505680001537</c:v>
                </c:pt>
                <c:pt idx="92">
                  <c:v>32.5950166924129</c:v>
                </c:pt>
                <c:pt idx="93">
                  <c:v>30.3982216590587</c:v>
                </c:pt>
                <c:pt idx="94">
                  <c:v>28.3494832585361</c:v>
                </c:pt>
                <c:pt idx="95">
                  <c:v>26.4388229693206</c:v>
                </c:pt>
                <c:pt idx="96">
                  <c:v>24.6569347888413</c:v>
                </c:pt>
                <c:pt idx="97">
                  <c:v>22.9951399079547</c:v>
                </c:pt>
                <c:pt idx="98">
                  <c:v>21.4453444402065</c:v>
                </c:pt>
                <c:pt idx="99">
                  <c:v>20</c:v>
                </c:pt>
              </c:numCache>
            </c:numRef>
          </c:xVal>
          <c:yVal>
            <c:numRef>
              <c:f>'BOARD_1 Gain'!$O$5:$O$104</c:f>
              <c:numCache>
                <c:formatCode>General</c:formatCode>
                <c:ptCount val="100"/>
                <c:pt idx="0">
                  <c:v>-0.522043277302316</c:v>
                </c:pt>
                <c:pt idx="1">
                  <c:v>-0.484570033986188</c:v>
                </c:pt>
                <c:pt idx="2">
                  <c:v>-0.449095565732535</c:v>
                </c:pt>
                <c:pt idx="3">
                  <c:v>-0.416686509477358</c:v>
                </c:pt>
                <c:pt idx="4">
                  <c:v>-0.387378243393187</c:v>
                </c:pt>
                <c:pt idx="5">
                  <c:v>-0.359302077068662</c:v>
                </c:pt>
                <c:pt idx="6">
                  <c:v>-0.33432089229467</c:v>
                </c:pt>
                <c:pt idx="7">
                  <c:v>-0.310985648424207</c:v>
                </c:pt>
                <c:pt idx="8">
                  <c:v>-0.289300127166598</c:v>
                </c:pt>
                <c:pt idx="9">
                  <c:v>-0.269066576039222</c:v>
                </c:pt>
                <c:pt idx="10">
                  <c:v>-0.251082751844479</c:v>
                </c:pt>
                <c:pt idx="11">
                  <c:v>-0.232856175885786</c:v>
                </c:pt>
                <c:pt idx="12">
                  <c:v>-0.21684309552046</c:v>
                </c:pt>
                <c:pt idx="13">
                  <c:v>-0.202123701929281</c:v>
                </c:pt>
                <c:pt idx="14">
                  <c:v>-0.188198608842242</c:v>
                </c:pt>
                <c:pt idx="15">
                  <c:v>-0.175131566851348</c:v>
                </c:pt>
                <c:pt idx="16">
                  <c:v>-0.162937650450658</c:v>
                </c:pt>
                <c:pt idx="17">
                  <c:v>-0.152556698713625</c:v>
                </c:pt>
                <c:pt idx="18">
                  <c:v>-0.142189131204986</c:v>
                </c:pt>
                <c:pt idx="19">
                  <c:v>-0.132486799733044</c:v>
                </c:pt>
                <c:pt idx="20">
                  <c:v>-0.123066451982481</c:v>
                </c:pt>
                <c:pt idx="21">
                  <c:v>-0.115253198312871</c:v>
                </c:pt>
                <c:pt idx="22">
                  <c:v>-0.107433603610445</c:v>
                </c:pt>
                <c:pt idx="23">
                  <c:v>-0.099797109103122</c:v>
                </c:pt>
                <c:pt idx="24">
                  <c:v>-0.092649508680268</c:v>
                </c:pt>
                <c:pt idx="25">
                  <c:v>-0.086890713070943</c:v>
                </c:pt>
                <c:pt idx="26">
                  <c:v>-0.081357537171357</c:v>
                </c:pt>
                <c:pt idx="27">
                  <c:v>-0.075506603189978</c:v>
                </c:pt>
                <c:pt idx="28">
                  <c:v>-0.070941033033932</c:v>
                </c:pt>
                <c:pt idx="29">
                  <c:v>-0.065618245063718</c:v>
                </c:pt>
                <c:pt idx="30">
                  <c:v>-0.0609706490323</c:v>
                </c:pt>
                <c:pt idx="31">
                  <c:v>-0.05724273483014</c:v>
                </c:pt>
                <c:pt idx="32">
                  <c:v>-0.053367867500072</c:v>
                </c:pt>
                <c:pt idx="33">
                  <c:v>-0.049840976227699</c:v>
                </c:pt>
                <c:pt idx="34">
                  <c:v>-0.046679829790264</c:v>
                </c:pt>
                <c:pt idx="35">
                  <c:v>-0.042831450399774</c:v>
                </c:pt>
                <c:pt idx="36">
                  <c:v>-0.040549631771512</c:v>
                </c:pt>
                <c:pt idx="37">
                  <c:v>-0.037554005190714</c:v>
                </c:pt>
                <c:pt idx="38">
                  <c:v>-0.034726866920721</c:v>
                </c:pt>
                <c:pt idx="39">
                  <c:v>-0.032710650901038</c:v>
                </c:pt>
                <c:pt idx="40">
                  <c:v>-0.030145066259308</c:v>
                </c:pt>
                <c:pt idx="41">
                  <c:v>-0.028268846995274</c:v>
                </c:pt>
                <c:pt idx="42">
                  <c:v>-0.026729889675948</c:v>
                </c:pt>
                <c:pt idx="43">
                  <c:v>-0.024994299212324</c:v>
                </c:pt>
                <c:pt idx="44">
                  <c:v>-0.023222109847098</c:v>
                </c:pt>
                <c:pt idx="45">
                  <c:v>-0.021062497226808</c:v>
                </c:pt>
                <c:pt idx="46">
                  <c:v>-0.01982636469802</c:v>
                </c:pt>
                <c:pt idx="47">
                  <c:v>-0.018566494660548</c:v>
                </c:pt>
                <c:pt idx="48">
                  <c:v>-0.017757316419647</c:v>
                </c:pt>
                <c:pt idx="49">
                  <c:v>-0.016232563905362</c:v>
                </c:pt>
                <c:pt idx="50">
                  <c:v>-0.015453809333053</c:v>
                </c:pt>
                <c:pt idx="51">
                  <c:v>-0.01452368456404</c:v>
                </c:pt>
                <c:pt idx="52">
                  <c:v>-0.013038184723143</c:v>
                </c:pt>
                <c:pt idx="53">
                  <c:v>-0.012241080758429</c:v>
                </c:pt>
                <c:pt idx="54">
                  <c:v>-0.011814655458352</c:v>
                </c:pt>
                <c:pt idx="55">
                  <c:v>-0.010446518315235</c:v>
                </c:pt>
                <c:pt idx="56">
                  <c:v>-0.009895653332762</c:v>
                </c:pt>
                <c:pt idx="57">
                  <c:v>-0.009468063450811</c:v>
                </c:pt>
                <c:pt idx="58">
                  <c:v>-0.008522956144361</c:v>
                </c:pt>
                <c:pt idx="59">
                  <c:v>-0.00836218129956</c:v>
                </c:pt>
                <c:pt idx="60">
                  <c:v>-0.007444105839624</c:v>
                </c:pt>
                <c:pt idx="61">
                  <c:v>-0.007004977473741</c:v>
                </c:pt>
                <c:pt idx="62">
                  <c:v>-0.006827555245081</c:v>
                </c:pt>
                <c:pt idx="63">
                  <c:v>-0.006425764902707</c:v>
                </c:pt>
                <c:pt idx="64">
                  <c:v>-0.005915434209615</c:v>
                </c:pt>
                <c:pt idx="65">
                  <c:v>-0.005451477871642</c:v>
                </c:pt>
                <c:pt idx="66">
                  <c:v>-0.004608276120166</c:v>
                </c:pt>
                <c:pt idx="67">
                  <c:v>-0.004641529781168</c:v>
                </c:pt>
                <c:pt idx="68">
                  <c:v>-0.004142031036452</c:v>
                </c:pt>
                <c:pt idx="69">
                  <c:v>-0.003570899905753</c:v>
                </c:pt>
                <c:pt idx="70">
                  <c:v>-0.00386883433697</c:v>
                </c:pt>
                <c:pt idx="71">
                  <c:v>-0.002857202133384</c:v>
                </c:pt>
                <c:pt idx="72">
                  <c:v>-0.003685855621408</c:v>
                </c:pt>
                <c:pt idx="73">
                  <c:v>-0.003746923671039</c:v>
                </c:pt>
                <c:pt idx="74">
                  <c:v>-0.0033365662112</c:v>
                </c:pt>
                <c:pt idx="75">
                  <c:v>-0.002269000525132</c:v>
                </c:pt>
                <c:pt idx="76">
                  <c:v>-0.002999540473915</c:v>
                </c:pt>
                <c:pt idx="77">
                  <c:v>-0.002593599619543</c:v>
                </c:pt>
                <c:pt idx="78">
                  <c:v>-0.00195684526949</c:v>
                </c:pt>
                <c:pt idx="79">
                  <c:v>-0.002123400192485</c:v>
                </c:pt>
                <c:pt idx="80">
                  <c:v>-0.001786869792511</c:v>
                </c:pt>
                <c:pt idx="81">
                  <c:v>-0.000978842097652</c:v>
                </c:pt>
                <c:pt idx="82">
                  <c:v>-0.001585488039893</c:v>
                </c:pt>
                <c:pt idx="83">
                  <c:v>-0.001411708291636</c:v>
                </c:pt>
                <c:pt idx="84">
                  <c:v>-0.001754072856201</c:v>
                </c:pt>
                <c:pt idx="85">
                  <c:v>-0.00143568554486</c:v>
                </c:pt>
                <c:pt idx="86">
                  <c:v>-0.001080179688956</c:v>
                </c:pt>
                <c:pt idx="87">
                  <c:v>-0.001386606781012</c:v>
                </c:pt>
                <c:pt idx="88">
                  <c:v>-0.000584462036158</c:v>
                </c:pt>
                <c:pt idx="89">
                  <c:v>-0.001476526563286</c:v>
                </c:pt>
                <c:pt idx="90">
                  <c:v>-0.000423701984858</c:v>
                </c:pt>
                <c:pt idx="91">
                  <c:v>-0.000481723295423</c:v>
                </c:pt>
                <c:pt idx="92">
                  <c:v>-0.000546233595807</c:v>
                </c:pt>
                <c:pt idx="93">
                  <c:v>-0.000100291539638</c:v>
                </c:pt>
                <c:pt idx="94">
                  <c:v>-0.000865800358758</c:v>
                </c:pt>
                <c:pt idx="95">
                  <c:v>-0.000941491574923</c:v>
                </c:pt>
                <c:pt idx="96">
                  <c:v>-0.000889239579465</c:v>
                </c:pt>
                <c:pt idx="97">
                  <c:v>-0.000757921133949</c:v>
                </c:pt>
                <c:pt idx="98">
                  <c:v>-0.000682018409218</c:v>
                </c:pt>
                <c:pt idx="99">
                  <c:v>-0.000488148234638</c:v>
                </c:pt>
              </c:numCache>
            </c:numRef>
          </c:yVal>
          <c:smooth val="1"/>
          <c:extLst>
            <c:ext xmlns:sm="smo" uri="smo">
              <sm:meanLine>
                <c:spPr>
                  <a:ln>
                    <a:noFill/>
                  </a:ln>
                </c:spPr>
              </sm:meanLine>
              <sm:minMaxLine>
                <c:spPr>
                  <a:ln>
                    <a:noFill/>
                  </a:ln>
                </c:spPr>
              </sm:minMaxLine>
              <sm:stDevLine>
                <c:spPr>
                  <a:ln>
                    <a:noFill/>
                  </a:ln>
                </c:spPr>
              </sm:stDevLine>
              <sm:trendLine>
                <c:spPr>
                  <a:ln>
                    <a:noFill/>
                  </a:ln>
                </c:spPr>
              </sm:trendLine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20"/>
        <c:axId val="21"/>
      </c:scatterChart>
      <c:valAx>
        <c:axId val="10"/>
        <c:scaling>
          <c:logBase val="10"/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lang="es-mx" sz="1100" b="0" i="0" u="none" strike="noStrike">
                <a:solidFill>
                  <a:srgbClr val="000000"/>
                </a:solidFill>
                <a:latin typeface="Arial"/>
              </a:defRPr>
            </a:pPr>
          </a:p>
        </c:txPr>
        <c:crossAx val="11"/>
        <c:crosses val="autoZero"/>
      </c:valAx>
      <c:valAx>
        <c:axId val="11"/>
        <c:scaling>
          <c:orientation val="minMax"/>
        </c:scaling>
        <c:delete val="0"/>
        <c:axPos val="l"/>
        <c:majorGridlines/>
        <c:numFmt formatCode="0.0000" sourceLinked="0"/>
        <c:majorTickMark val="cross"/>
        <c:minorTickMark val="none"/>
        <c:tickLblPos val="nextTo"/>
        <c:txPr>
          <a:bodyPr/>
          <a:lstStyle/>
          <a:p>
            <a:pPr>
              <a:defRPr lang="es-mx" sz="1100" b="0" i="0" u="none" strike="noStrike">
                <a:solidFill>
                  <a:srgbClr val="000000"/>
                </a:solidFill>
                <a:latin typeface="Arial"/>
              </a:defRPr>
            </a:pPr>
          </a:p>
        </c:txPr>
        <c:crossAx val="10"/>
        <c:crosses val="autoZero"/>
      </c:valAx>
      <c:valAx>
        <c:axId val="20"/>
        <c:scaling>
          <c:orientation val="minMax"/>
        </c:scaling>
        <c:delete val="1"/>
        <c:axPos val="b"/>
        <c:numFmt formatCode="General" sourceLinked="1"/>
        <c:majorTickMark val="cross"/>
        <c:minorTickMark val="none"/>
        <c:tickLblPos val="none"/>
        <c:spPr>
          <a:ln>
            <a:noFill/>
          </a:ln>
        </c:spPr>
        <c:txPr>
          <a:bodyPr/>
          <a:lstStyle/>
          <a:p>
            <a:pPr>
              <a:defRPr lang="es-mx" sz="1000" b="0" i="0" u="none" strike="noStrike">
                <a:solidFill>
                  <a:srgbClr val="000000"/>
                </a:solidFill>
                <a:latin typeface="Arial"/>
              </a:defRPr>
            </a:pPr>
          </a:p>
        </c:txPr>
        <c:crossAx val="21"/>
        <c:crosses val="max"/>
      </c:valAx>
      <c:valAx>
        <c:axId val="21"/>
        <c:scaling>
          <c:orientation val="minMax"/>
        </c:scaling>
        <c:delete val="0"/>
        <c:axPos val="r"/>
        <c:majorGridlines/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lang="es-mx" sz="1000" b="0" i="0" u="none" strike="noStrike">
                <a:solidFill>
                  <a:srgbClr val="000000"/>
                </a:solidFill>
                <a:latin typeface="Arial"/>
              </a:defRPr>
            </a:pPr>
          </a:p>
        </c:txPr>
        <c:crossAx val="20"/>
        <c:crosses val="max"/>
        <c:majorUnit val="0.120000"/>
      </c:valAx>
    </c:plotArea>
    <c:legend>
      <c:legendPos val="t"/>
      <c:layout/>
      <c:overlay val="0"/>
      <c:txPr>
        <a:bodyPr anchor="t" numCol="2"/>
        <a:lstStyle/>
        <a:p>
          <a:pPr>
            <a:defRPr lang="es-mx" sz="1400" b="0" i="0" u="none" strike="noStrike">
              <a:solidFill>
                <a:srgbClr val="000000"/>
              </a:solidFill>
              <a:latin typeface="Arial"/>
            </a:defRPr>
          </a:pPr>
        </a:p>
      </c:txPr>
    </c:legend>
    <c:plotVisOnly val="1"/>
    <c:dispBlanksAs val="gap"/>
  </c:chart>
  <c:spPr/>
  <c:txPr>
    <a:bodyPr anchor="ctr" anchorCtr="1" rot="0"/>
    <a:lstStyle/>
    <a:p>
      <a:pPr>
        <a:defRPr lang="es-mx" sz="1970" b="0" i="0" u="none" strike="noStrike">
          <a:solidFill>
            <a:srgbClr val="000000"/>
          </a:solidFill>
          <a:latin typeface="Arial"/>
        </a:defRPr>
      </a:pPr>
    </a:p>
  </c:txPr>
  <c:extLst>
    <c:ext xmlns:sm="smo" uri="smo">
      <sm:colorScheme xmlns:sm="smo" id="1718654535" val="7"/>
    </c:ext>
  </c:extLst>
</c:chartSpace>
</file>

<file path=xl/drawings/_rels/drawing1.xml.rels><?xml version="1.0" encoding="UTF-8" standalone="yes" 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438150</xdr:colOff>
      <xdr:row>8</xdr:row>
      <xdr:rowOff>47625</xdr:rowOff>
    </xdr:from>
    <xdr:to>
      <xdr:col>10</xdr:col>
      <xdr:colOff>685165</xdr:colOff>
      <xdr:row>30</xdr:row>
      <xdr:rowOff>47625</xdr:rowOff>
    </xdr:to>
    <xdr:graphicFrame macro="">
      <xdr:nvGraphicFramePr>
        <xdr:cNvPr id="3" name="Gráfico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276860</xdr:colOff>
      <xdr:row>5</xdr:row>
      <xdr:rowOff>104140</xdr:rowOff>
    </xdr:from>
    <xdr:to>
      <xdr:col>23</xdr:col>
      <xdr:colOff>591185</xdr:colOff>
      <xdr:row>29</xdr:row>
      <xdr:rowOff>57150</xdr:rowOff>
    </xdr:to>
    <xdr:graphicFrame macro="">
      <xdr:nvGraphicFramePr>
        <xdr:cNvPr id="2" name="Gain (Board_1)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Arial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_rels/sheet1.xml.rels><?xml version="1.0" encoding="UTF-8" standalone="yes" 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AG112"/>
  <sheetViews>
    <sheetView tabSelected="1" view="normal" topLeftCell="J1" workbookViewId="0">
      <selection activeCell="P3" sqref="P3"/>
    </sheetView>
  </sheetViews>
  <sheetFormatPr baseColWidth="9" defaultColWidth="10.000000" defaultRowHeight="13.45"/>
  <cols>
    <col min="1" max="1" width="10.000000" style="2"/>
    <col min="2" max="2" width="10.000000" style="0"/>
    <col min="3" max="3" width="10.000000" style="2"/>
    <col min="4" max="4" width="10.000000" style="0"/>
    <col min="7" max="7" width="10.000000" style="2"/>
    <col min="9" max="9" width="10.000000" style="2"/>
    <col min="27" max="27" width="10.000000" style="2"/>
  </cols>
  <sheetData>
    <row r="1" spans="1:30">
      <c r="A1" s="2" t="s">
        <v>0</v>
      </c>
      <c r="G1" s="2" t="s">
        <v>0</v>
      </c>
      <c r="Y1" t="s">
        <v>1</v>
      </c>
      <c r="AD1" t="s">
        <v>1</v>
      </c>
    </row>
    <row r="2" spans="1:33">
      <c r="A2" s="2" t="s">
        <v>2</v>
      </c>
      <c r="B2" t="s">
        <v>3</v>
      </c>
      <c r="C2" s="3" t="s">
        <v>4</v>
      </c>
      <c r="D2" s="1" t="s">
        <v>5</v>
      </c>
      <c r="G2" s="2" t="s">
        <v>2</v>
      </c>
      <c r="I2" s="3" t="s">
        <v>4</v>
      </c>
      <c r="J2" s="1" t="s">
        <v>3</v>
      </c>
      <c r="Y2" t="s">
        <v>2</v>
      </c>
      <c r="AA2" s="7" t="s">
        <v>4</v>
      </c>
      <c r="AB2" s="4" t="s">
        <v>5</v>
      </c>
      <c r="AD2" t="s">
        <v>2</v>
      </c>
      <c r="AF2" t="s">
        <v>4</v>
      </c>
      <c r="AG2" t="s">
        <v>3</v>
      </c>
    </row>
    <row r="3" spans="1:33">
      <c r="A3" s="2" t="s">
        <v>6</v>
      </c>
      <c r="B3" t="s">
        <v>7</v>
      </c>
      <c r="C3" s="2" t="s">
        <v>6</v>
      </c>
      <c r="D3" t="s">
        <v>7</v>
      </c>
      <c r="G3" s="2" t="s">
        <v>6</v>
      </c>
      <c r="H3" t="s">
        <v>7</v>
      </c>
      <c r="I3" s="2" t="s">
        <v>6</v>
      </c>
      <c r="J3" t="s">
        <v>7</v>
      </c>
      <c r="Y3" t="s">
        <v>6</v>
      </c>
      <c r="Z3" t="s">
        <v>7</v>
      </c>
      <c r="AA3" s="2" t="s">
        <v>6</v>
      </c>
      <c r="AB3" t="s">
        <v>7</v>
      </c>
      <c r="AD3" t="s">
        <v>6</v>
      </c>
      <c r="AE3" t="s">
        <v>7</v>
      </c>
      <c r="AF3" t="s">
        <v>6</v>
      </c>
      <c r="AG3" t="s">
        <v>7</v>
      </c>
    </row>
    <row r="4" spans="1:33">
      <c r="A4" s="2" t="s">
        <v>8</v>
      </c>
      <c r="B4" t="s">
        <v>9</v>
      </c>
      <c r="C4" s="2" t="s">
        <v>8</v>
      </c>
      <c r="D4" t="s">
        <v>9</v>
      </c>
      <c r="G4" s="2" t="s">
        <v>8</v>
      </c>
      <c r="H4" t="s">
        <v>9</v>
      </c>
      <c r="I4" s="2" t="s">
        <v>8</v>
      </c>
      <c r="J4" t="s">
        <v>9</v>
      </c>
      <c r="L4"/>
      <c r="M4" s="5" t="s">
        <v>10</v>
      </c>
      <c r="N4" s="5" t="s">
        <v>11</v>
      </c>
      <c r="O4" t="s">
        <v>1</v>
      </c>
      <c r="Y4" t="s">
        <v>8</v>
      </c>
      <c r="Z4" t="s">
        <v>12</v>
      </c>
      <c r="AA4" s="2" t="s">
        <v>8</v>
      </c>
      <c r="AB4" t="s">
        <v>12</v>
      </c>
      <c r="AD4" t="s">
        <v>8</v>
      </c>
      <c r="AE4" t="s">
        <v>12</v>
      </c>
      <c r="AF4" t="s">
        <v>8</v>
      </c>
      <c r="AG4" t="s">
        <v>12</v>
      </c>
    </row>
    <row r="5" spans="1:33">
      <c r="A5" s="2" t="n">
        <v>20000</v>
      </c>
      <c r="B5" t="n">
        <v>-0.00277870512842890971</v>
      </c>
      <c r="C5" s="2" t="n">
        <v>20000</v>
      </c>
      <c r="D5" t="n">
        <v>0.0123620562243762988</v>
      </c>
      <c r="E5">
        <f>10^(D5/20)</f>
        <v>1.00142424759766802</v>
      </c>
      <c r="G5" s="2" t="n">
        <v>20000</v>
      </c>
      <c r="H5" t="n">
        <v>0.0120723770262164987</v>
      </c>
      <c r="I5" s="2" t="n">
        <v>20000</v>
      </c>
      <c r="J5" t="n">
        <v>-0.00180378266434713002</v>
      </c>
      <c r="K5">
        <f>10^(J5/20)</f>
        <v>0.99979235340784296</v>
      </c>
      <c r="L5"/>
      <c r="M5" s="6">
        <f>I5</f>
        <v>20000</v>
      </c>
      <c r="N5">
        <f>E5/K5</f>
        <v>1.0016322331174714</v>
      </c>
      <c r="O5">
        <f>AB5-AG5</f>
        <v>-0.5220432773023159</v>
      </c>
      <c r="Y5" t="n">
        <v>20000</v>
      </c>
      <c r="Z5" t="n">
        <v>0</v>
      </c>
      <c r="AA5" s="2" t="n">
        <v>20000</v>
      </c>
      <c r="AB5" t="n">
        <v>-0.525447494505271973</v>
      </c>
      <c r="AD5" t="n">
        <v>20000</v>
      </c>
      <c r="AE5" t="n">
        <v>0</v>
      </c>
      <c r="AF5" t="n">
        <v>20000</v>
      </c>
      <c r="AG5" t="n">
        <v>-0.00340421720295581043</v>
      </c>
    </row>
    <row r="6" spans="1:33">
      <c r="A6" s="2" t="n">
        <v>18652.0669376646001</v>
      </c>
      <c r="B6" t="n">
        <v>-0.00252339667108566967</v>
      </c>
      <c r="C6" s="2" t="n">
        <v>18652.0669376646001</v>
      </c>
      <c r="D6" t="n">
        <v>0.0104575264672611001</v>
      </c>
      <c r="E6">
        <f>10^(D6/20)</f>
        <v>1.00120469228715114</v>
      </c>
      <c r="G6" s="2" t="n">
        <v>18652.0669376646001</v>
      </c>
      <c r="H6" t="n">
        <v>0.0101646878382699013</v>
      </c>
      <c r="I6" s="2" t="n">
        <v>18652.0669376646001</v>
      </c>
      <c r="J6" t="n">
        <v>-0.00154860202584570006</v>
      </c>
      <c r="K6">
        <f>10^(J6/20)</f>
        <v>0.999821726495625995</v>
      </c>
      <c r="L6"/>
      <c r="M6" s="6">
        <f>I6</f>
        <v>18652.0669376646001</v>
      </c>
      <c r="N6">
        <f>E6/K6</f>
        <v>1.00138321238164263</v>
      </c>
      <c r="O6">
        <f>AB6-AG6</f>
        <v>-0.484570033986187987</v>
      </c>
      <c r="Y6" t="n">
        <v>18652.0669376646001</v>
      </c>
      <c r="Z6" t="n">
        <v>0</v>
      </c>
      <c r="AA6" s="2" t="n">
        <v>18652.0669376646001</v>
      </c>
      <c r="AB6" t="n">
        <v>-0.488807741180665012</v>
      </c>
      <c r="AD6" t="n">
        <v>18652.0669376646001</v>
      </c>
      <c r="AE6" t="n">
        <v>0</v>
      </c>
      <c r="AF6" t="n">
        <v>18652.0669376646001</v>
      </c>
      <c r="AG6" t="n">
        <v>-0.00423770719447701971</v>
      </c>
    </row>
    <row r="7" spans="1:33">
      <c r="A7" s="2" t="n">
        <v>17394.9800523558006</v>
      </c>
      <c r="B7" t="n">
        <v>-0.00232304222125336013</v>
      </c>
      <c r="C7" s="2" t="n">
        <v>17394.9800523558006</v>
      </c>
      <c r="D7" t="n">
        <v>0.00877364327364323948</v>
      </c>
      <c r="E7">
        <f>10^(D7/20)</f>
        <v>1.00101061333651531</v>
      </c>
      <c r="G7" s="2" t="n">
        <v>17394.9800523558006</v>
      </c>
      <c r="H7" t="n">
        <v>0.00849003868847171006</v>
      </c>
      <c r="I7" s="2" t="n">
        <v>17394.9800523558006</v>
      </c>
      <c r="J7" t="n">
        <v>-0.00133552584077815983</v>
      </c>
      <c r="K7">
        <f>10^(J7/20)</f>
        <v>0.999846253725555556</v>
      </c>
      <c r="L7"/>
      <c r="M7" s="6">
        <f>I7</f>
        <v>17394.9800523558006</v>
      </c>
      <c r="N7">
        <f>E7/K7</f>
        <v>1.00116453865444344</v>
      </c>
      <c r="O7">
        <f>AB7-AG7</f>
        <v>-0.449095565732535018</v>
      </c>
      <c r="Y7" t="n">
        <v>17394.9800523558006</v>
      </c>
      <c r="Z7" t="n">
        <v>0</v>
      </c>
      <c r="AA7" s="2" t="n">
        <v>17394.9800523558006</v>
      </c>
      <c r="AB7" t="n">
        <v>-0.454443049193059956</v>
      </c>
      <c r="AD7" t="n">
        <v>17394.9800523558006</v>
      </c>
      <c r="AE7" t="n">
        <v>0</v>
      </c>
      <c r="AF7" t="n">
        <v>17394.9800523558006</v>
      </c>
      <c r="AG7" t="n">
        <v>-0.00534748346052538093</v>
      </c>
    </row>
    <row r="8" spans="1:33">
      <c r="A8" s="2" t="n">
        <v>16222.6166157939006</v>
      </c>
      <c r="B8" t="n">
        <v>-0.00238709114538401002</v>
      </c>
      <c r="C8" s="2" t="n">
        <v>16222.6166157939006</v>
      </c>
      <c r="D8" t="n">
        <v>0.00706309612868011083</v>
      </c>
      <c r="E8">
        <f>10^(D8/20)</f>
        <v>1.00081349970435496</v>
      </c>
      <c r="G8" s="2" t="n">
        <v>16222.6166157939006</v>
      </c>
      <c r="H8" t="n">
        <v>0.00677573655146168896</v>
      </c>
      <c r="I8" s="2" t="n">
        <v>16222.6166157939006</v>
      </c>
      <c r="J8" t="n">
        <v>-0.00140429141917189</v>
      </c>
      <c r="K8">
        <f>10^(J8/20)</f>
        <v>0.999838338044301267</v>
      </c>
      <c r="L8"/>
      <c r="M8" s="6">
        <f>I8</f>
        <v>16222.6166157939006</v>
      </c>
      <c r="N8">
        <f>E8/K8</f>
        <v>1.00097531933208983</v>
      </c>
      <c r="O8">
        <f>AB8-AG8</f>
        <v>-0.416686509477357969</v>
      </c>
      <c r="Y8" t="n">
        <v>16222.6166157939006</v>
      </c>
      <c r="Z8" t="n">
        <v>0</v>
      </c>
      <c r="AA8" s="2" t="n">
        <v>16222.6166157939006</v>
      </c>
      <c r="AB8" t="n">
        <v>-0.422545010509509034</v>
      </c>
      <c r="AD8" t="n">
        <v>16222.6166157939006</v>
      </c>
      <c r="AE8" t="n">
        <v>0</v>
      </c>
      <c r="AF8" t="n">
        <v>16222.6166157939006</v>
      </c>
      <c r="AG8" t="n">
        <v>-0.00585850103215079887</v>
      </c>
    </row>
    <row r="9" spans="1:33">
      <c r="A9" s="2" t="n">
        <v>15129.2665510927</v>
      </c>
      <c r="B9" t="n">
        <v>-0.00272846149653208947</v>
      </c>
      <c r="C9" s="2" t="n">
        <v>15129.2665510927</v>
      </c>
      <c r="D9" t="n">
        <v>0.0052690641649772898</v>
      </c>
      <c r="E9">
        <f>10^(D9/20)</f>
        <v>1.00060680746321951</v>
      </c>
      <c r="G9" s="2" t="n">
        <v>15129.2665510927</v>
      </c>
      <c r="H9" t="n">
        <v>0.00498589037213455022</v>
      </c>
      <c r="I9" s="2" t="n">
        <v>15129.2665510927</v>
      </c>
      <c r="J9" t="n">
        <v>-0.00177573785676179003</v>
      </c>
      <c r="K9">
        <f>10^(J9/20)</f>
        <v>0.999795581520403154</v>
      </c>
      <c r="L9"/>
      <c r="M9" s="6">
        <f>I9</f>
        <v>15129.2665510927</v>
      </c>
      <c r="N9">
        <f>E9/K9</f>
        <v>1.00081139180629641</v>
      </c>
      <c r="O9">
        <f>AB9-AG9</f>
        <v>-0.387378243393187027</v>
      </c>
      <c r="Y9" t="n">
        <v>15129.2665510927</v>
      </c>
      <c r="Z9" t="n">
        <v>0</v>
      </c>
      <c r="AA9" s="2" t="n">
        <v>15129.2665510927</v>
      </c>
      <c r="AB9" t="n">
        <v>-0.393191501659203002</v>
      </c>
      <c r="AD9" t="n">
        <v>15129.2665510927</v>
      </c>
      <c r="AE9" t="n">
        <v>0</v>
      </c>
      <c r="AF9" t="n">
        <v>15129.2665510927</v>
      </c>
      <c r="AG9" t="n">
        <v>-0.00581325826601641982</v>
      </c>
    </row>
    <row r="10" spans="1:33">
      <c r="A10" s="2" t="n">
        <v>14109.6046214374001</v>
      </c>
      <c r="B10" t="n">
        <v>-0.00323734147234517966</v>
      </c>
      <c r="C10" s="2" t="n">
        <v>14109.6046214374001</v>
      </c>
      <c r="D10" t="n">
        <v>0.0035038024371338401</v>
      </c>
      <c r="E10">
        <f>10^(D10/20)</f>
        <v>1.0004034715357808</v>
      </c>
      <c r="G10" s="2" t="n">
        <v>14109.6046214374001</v>
      </c>
      <c r="H10" t="n">
        <v>0.00323611597687190011</v>
      </c>
      <c r="I10" s="2" t="n">
        <v>14109.6046214374001</v>
      </c>
      <c r="J10" t="n">
        <v>-0.00227051013663094015</v>
      </c>
      <c r="K10">
        <f>10^(J10/20)</f>
        <v>0.999738632022856599</v>
      </c>
      <c r="L10"/>
      <c r="M10" s="6">
        <f>I10</f>
        <v>14109.6046214374001</v>
      </c>
      <c r="N10">
        <f>E10/K10</f>
        <v>1.0006650133261108</v>
      </c>
      <c r="O10">
        <f>AB10-AG10</f>
        <v>-0.35930207706866204</v>
      </c>
      <c r="Y10" t="n">
        <v>14109.6046214374001</v>
      </c>
      <c r="Z10" t="n">
        <v>0</v>
      </c>
      <c r="AA10" s="2" t="n">
        <v>14109.6046214374001</v>
      </c>
      <c r="AB10" t="n">
        <v>-0.365772929900800037</v>
      </c>
      <c r="AD10" t="n">
        <v>14109.6046214374001</v>
      </c>
      <c r="AE10" t="n">
        <v>0</v>
      </c>
      <c r="AF10" t="n">
        <v>14109.6046214374001</v>
      </c>
      <c r="AG10" t="n">
        <v>-0.00647085283213755069</v>
      </c>
    </row>
    <row r="11" spans="1:33">
      <c r="A11" s="2" t="n">
        <v>13158.6644931515002</v>
      </c>
      <c r="B11" t="n">
        <v>-0.00374188881798686035</v>
      </c>
      <c r="C11" s="2" t="n">
        <v>13158.6644931515002</v>
      </c>
      <c r="D11" t="n">
        <v>0.00188353438211986006</v>
      </c>
      <c r="E11">
        <f>10^(D11/20)</f>
        <v>1.00021687342316179</v>
      </c>
      <c r="G11" s="2" t="n">
        <v>13158.6644931515002</v>
      </c>
      <c r="H11" t="n">
        <v>0.0016146298191495001</v>
      </c>
      <c r="I11" s="2" t="n">
        <v>13158.6644931515002</v>
      </c>
      <c r="J11" t="n">
        <v>-0.00280260102303059</v>
      </c>
      <c r="K11">
        <f>10^(J11/20)</f>
        <v>0.999677390682717437</v>
      </c>
      <c r="L11"/>
      <c r="M11" s="6">
        <f>I11</f>
        <v>13158.6644931515002</v>
      </c>
      <c r="N11">
        <f>E11/K11</f>
        <v>1.00053965683876633</v>
      </c>
      <c r="O11">
        <f>AB11-AG11</f>
        <v>-0.334320892294670013</v>
      </c>
      <c r="Y11" t="n">
        <v>13158.6644931515002</v>
      </c>
      <c r="Z11" t="n">
        <v>0</v>
      </c>
      <c r="AA11" s="2" t="n">
        <v>13158.6644931515002</v>
      </c>
      <c r="AB11" t="n">
        <v>-0.34108293234714897</v>
      </c>
      <c r="AD11" t="n">
        <v>13158.6644931515002</v>
      </c>
      <c r="AE11" t="n">
        <v>0</v>
      </c>
      <c r="AF11" t="n">
        <v>13158.6644931515002</v>
      </c>
      <c r="AG11" t="n">
        <v>-0.00676204005247882201</v>
      </c>
    </row>
    <row r="12" spans="1:33">
      <c r="A12" s="2" t="n">
        <v>12271.8145468263992</v>
      </c>
      <c r="B12" t="n">
        <v>-0.00417229884199722001</v>
      </c>
      <c r="C12" s="2" t="n">
        <v>12271.8145468263992</v>
      </c>
      <c r="D12" t="n">
        <v>0.000480567206919104972</v>
      </c>
      <c r="E12">
        <f>10^(D12/20)</f>
        <v>1.00005532887492743</v>
      </c>
      <c r="G12" s="2" t="n">
        <v>12271.8145468263992</v>
      </c>
      <c r="H12" t="n">
        <v>0.00022544505598002802</v>
      </c>
      <c r="I12" s="2" t="n">
        <v>12271.8145468263992</v>
      </c>
      <c r="J12" t="n">
        <v>-0.00323627289385894024</v>
      </c>
      <c r="K12">
        <f>10^(J12/20)</f>
        <v>0.999627479716804146</v>
      </c>
      <c r="L12"/>
      <c r="M12" s="6">
        <f>I12</f>
        <v>12271.8145468263992</v>
      </c>
      <c r="N12">
        <f>E12/K12</f>
        <v>1.00042800860001102</v>
      </c>
      <c r="O12">
        <f>AB12-AG12</f>
        <v>-0.310985648424207017</v>
      </c>
      <c r="Y12" t="n">
        <v>12271.8145468263992</v>
      </c>
      <c r="Z12" t="n">
        <v>0</v>
      </c>
      <c r="AA12" s="2" t="n">
        <v>12271.8145468263992</v>
      </c>
      <c r="AB12" t="n">
        <v>-0.317668353784654034</v>
      </c>
      <c r="AD12" t="n">
        <v>12271.8145468263992</v>
      </c>
      <c r="AE12" t="n">
        <v>0</v>
      </c>
      <c r="AF12" t="n">
        <v>12271.8145468263992</v>
      </c>
      <c r="AG12" t="n">
        <v>-0.00668270536044701835</v>
      </c>
    </row>
    <row r="13" spans="1:33">
      <c r="A13" s="2" t="n">
        <v>11444.7353187004992</v>
      </c>
      <c r="B13" t="n">
        <v>-0.00449575032450244993</v>
      </c>
      <c r="C13" s="2" t="n">
        <v>11444.7353187004992</v>
      </c>
      <c r="D13" t="n">
        <v>-0.000650451154846666046</v>
      </c>
      <c r="E13">
        <f>10^(D13/20)</f>
        <v>0.999925116847240503</v>
      </c>
      <c r="G13" s="2" t="n">
        <v>11444.7353187004992</v>
      </c>
      <c r="H13" t="n">
        <v>-0.00094574917230232991</v>
      </c>
      <c r="I13" s="2" t="n">
        <v>11444.7353187004992</v>
      </c>
      <c r="J13" t="n">
        <v>-0.00355433989876104972</v>
      </c>
      <c r="K13">
        <f>10^(J13/20)</f>
        <v>0.9995908752110644</v>
      </c>
      <c r="L13"/>
      <c r="M13" s="6">
        <f>I13</f>
        <v>11444.7353187004992</v>
      </c>
      <c r="N13">
        <f>E13/K13</f>
        <v>1.00033437843868511</v>
      </c>
      <c r="O13">
        <f>AB13-AG13</f>
        <v>-0.289300127166597996</v>
      </c>
      <c r="Y13" t="n">
        <v>11444.7353187004992</v>
      </c>
      <c r="Z13" t="n">
        <v>0</v>
      </c>
      <c r="AA13" s="2" t="n">
        <v>11444.7353187004992</v>
      </c>
      <c r="AB13" t="n">
        <v>-0.295948033172521985</v>
      </c>
      <c r="AD13" t="n">
        <v>11444.7353187004992</v>
      </c>
      <c r="AE13" t="n">
        <v>0</v>
      </c>
      <c r="AF13" t="n">
        <v>11444.7353187004992</v>
      </c>
      <c r="AG13" t="n">
        <v>-0.00664790600592368897</v>
      </c>
    </row>
    <row r="14" spans="1:33">
      <c r="A14" s="2" t="n">
        <v>10673.3984624127006</v>
      </c>
      <c r="B14" t="n">
        <v>-0.00467137377257055952</v>
      </c>
      <c r="C14" s="2" t="n">
        <v>10673.3984624127006</v>
      </c>
      <c r="D14" t="n">
        <v>-0.00153134568532254001</v>
      </c>
      <c r="E14">
        <f>10^(D14/20)</f>
        <v>0.999823712853043567</v>
      </c>
      <c r="G14" s="2" t="n">
        <v>10673.3984624127006</v>
      </c>
      <c r="H14" t="n">
        <v>-0.00182434479680186996</v>
      </c>
      <c r="I14" s="2" t="n">
        <v>10673.3984624127006</v>
      </c>
      <c r="J14" t="n">
        <v>-0.00372283783050837958</v>
      </c>
      <c r="K14">
        <f>10^(J14/20)</f>
        <v>0.999571484294485124</v>
      </c>
      <c r="L14"/>
      <c r="M14" s="6">
        <f>I14</f>
        <v>10673.3984624127006</v>
      </c>
      <c r="N14">
        <f>E14/K14</f>
        <v>1.00025233668879343</v>
      </c>
      <c r="O14">
        <f>AB14-AG14</f>
        <v>-0.269066576039222038</v>
      </c>
      <c r="Y14" t="n">
        <v>10673.3984624127006</v>
      </c>
      <c r="Z14" t="n">
        <v>0</v>
      </c>
      <c r="AA14" s="2" t="n">
        <v>10673.3984624127006</v>
      </c>
      <c r="AB14" t="n">
        <v>-0.275427999499243015</v>
      </c>
      <c r="AD14" t="n">
        <v>10673.3984624127006</v>
      </c>
      <c r="AE14" t="n">
        <v>0</v>
      </c>
      <c r="AF14" t="n">
        <v>10673.3984624127006</v>
      </c>
      <c r="AG14" t="n">
        <v>-0.00636142346002088921</v>
      </c>
    </row>
    <row r="15" spans="1:33">
      <c r="A15" s="2" t="n">
        <v>9954.04712866430054</v>
      </c>
      <c r="B15" t="n">
        <v>-0.00467057515328488915</v>
      </c>
      <c r="C15" s="2" t="n">
        <v>9954.04712866430054</v>
      </c>
      <c r="D15" t="n">
        <v>-0.00219038847531946024</v>
      </c>
      <c r="E15">
        <f>10^(D15/20)</f>
        <v>0.999747854001589964</v>
      </c>
      <c r="G15" s="2" t="n">
        <v>9954.04712866430054</v>
      </c>
      <c r="H15" t="n">
        <v>-0.00247148266472681</v>
      </c>
      <c r="I15" s="2" t="n">
        <v>9954.04712866430054</v>
      </c>
      <c r="J15" t="n">
        <v>-0.00371811862506489987</v>
      </c>
      <c r="K15">
        <f>10^(J15/20)</f>
        <v>0.999572027380416905</v>
      </c>
      <c r="L15"/>
      <c r="M15" s="6">
        <f>I15</f>
        <v>9954.04712866430054</v>
      </c>
      <c r="N15">
        <f>E15/K15</f>
        <v>1.00017590190237105</v>
      </c>
      <c r="O15">
        <f>AB15-AG15</f>
        <v>-0.251082751844478969</v>
      </c>
      <c r="Y15" t="n">
        <v>9954.04712866430054</v>
      </c>
      <c r="Z15" t="n">
        <v>0</v>
      </c>
      <c r="AA15" s="2" t="n">
        <v>9954.04712866430054</v>
      </c>
      <c r="AB15" t="n">
        <v>-0.257028823663574979</v>
      </c>
      <c r="AD15" t="n">
        <v>9954.04712866430054</v>
      </c>
      <c r="AE15" t="n">
        <v>0</v>
      </c>
      <c r="AF15" t="n">
        <v>9954.04712866430054</v>
      </c>
      <c r="AG15" t="n">
        <v>-0.00594607181909623073</v>
      </c>
    </row>
    <row r="16" spans="1:33">
      <c r="A16" s="2" t="n">
        <v>9283.17766722562919</v>
      </c>
      <c r="B16" t="n">
        <v>-0.00459794974469554951</v>
      </c>
      <c r="C16" s="2" t="n">
        <v>9283.17766722562919</v>
      </c>
      <c r="D16" t="n">
        <v>-0.00264872098687150981</v>
      </c>
      <c r="E16">
        <f>10^(D16/20)</f>
        <v>0.999695101218089377</v>
      </c>
      <c r="G16" s="2" t="n">
        <v>9283.17766722562919</v>
      </c>
      <c r="H16" t="n">
        <v>-0.0029413742923760001</v>
      </c>
      <c r="I16" s="2" t="n">
        <v>9283.17766722562919</v>
      </c>
      <c r="J16" t="n">
        <v>-0.00363196032575535011</v>
      </c>
      <c r="K16">
        <f>10^(J16/20)</f>
        <v>0.999581942525166589</v>
      </c>
      <c r="L16"/>
      <c r="M16" s="6">
        <f>I16</f>
        <v>9283.17766722562919</v>
      </c>
      <c r="N16">
        <f>E16/K16</f>
        <v>1.00011320601954479</v>
      </c>
      <c r="O16">
        <f>AB16-AG16</f>
        <v>-0.232856175885785976</v>
      </c>
      <c r="Y16" t="n">
        <v>9283.17766722562919</v>
      </c>
      <c r="Z16" t="n">
        <v>0</v>
      </c>
      <c r="AA16" s="2" t="n">
        <v>9283.17766722562919</v>
      </c>
      <c r="AB16" t="n">
        <v>-0.239145339271488</v>
      </c>
      <c r="AD16" t="n">
        <v>9283.17766722562919</v>
      </c>
      <c r="AE16" t="n">
        <v>0</v>
      </c>
      <c r="AF16" t="n">
        <v>9283.17766722562919</v>
      </c>
      <c r="AG16" t="n">
        <v>-0.00628916338570206879</v>
      </c>
    </row>
    <row r="17" spans="1:33">
      <c r="A17" s="2" t="n">
        <v>8657.52256216619026</v>
      </c>
      <c r="B17" t="n">
        <v>-0.00445446180108922984</v>
      </c>
      <c r="C17" s="2" t="n">
        <v>8657.52256216619026</v>
      </c>
      <c r="D17" t="n">
        <v>-0.00296221627325321037</v>
      </c>
      <c r="E17">
        <f>10^(D17/20)</f>
        <v>0.999659020395112208</v>
      </c>
      <c r="G17" s="2" t="n">
        <v>8657.52256216619026</v>
      </c>
      <c r="H17" t="n">
        <v>-0.00324878430834302012</v>
      </c>
      <c r="I17" s="2" t="n">
        <v>8657.52256216619026</v>
      </c>
      <c r="J17" t="n">
        <v>-0.00346188219596244018</v>
      </c>
      <c r="K17">
        <f>10^(J17/20)</f>
        <v>0.999601515499140802</v>
      </c>
      <c r="L17"/>
      <c r="M17" s="6">
        <f>I17</f>
        <v>8657.52256216619026</v>
      </c>
      <c r="N17">
        <f>E17/K17</f>
        <v>1.00005752781991553</v>
      </c>
      <c r="O17">
        <f>AB17-AG17</f>
        <v>-0.216843095520459972</v>
      </c>
      <c r="Y17" t="n">
        <v>8657.52256216619026</v>
      </c>
      <c r="Z17" t="n">
        <v>0</v>
      </c>
      <c r="AA17" s="2" t="n">
        <v>8657.52256216619026</v>
      </c>
      <c r="AB17" t="n">
        <v>-0.222601731023133009</v>
      </c>
      <c r="AD17" t="n">
        <v>8657.52256216619026</v>
      </c>
      <c r="AE17" t="n">
        <v>0</v>
      </c>
      <c r="AF17" t="n">
        <v>8657.52256216619026</v>
      </c>
      <c r="AG17" t="n">
        <v>-0.00575863550267285973</v>
      </c>
    </row>
    <row r="18" spans="1:33">
      <c r="A18" s="2" t="n">
        <v>8074.03451719317036</v>
      </c>
      <c r="B18" t="n">
        <v>-0.00424936401400571029</v>
      </c>
      <c r="C18" s="2" t="n">
        <v>8074.03451719317036</v>
      </c>
      <c r="D18" t="n">
        <v>-0.00320368551546824953</v>
      </c>
      <c r="E18">
        <f>10^(D18/20)</f>
        <v>0.99963123008681869</v>
      </c>
      <c r="G18" s="2" t="n">
        <v>8074.03451719317036</v>
      </c>
      <c r="H18" t="n">
        <v>-0.00347753184065687027</v>
      </c>
      <c r="I18" s="2" t="n">
        <v>8074.03451719317036</v>
      </c>
      <c r="J18" t="n">
        <v>-0.00327752248060161966</v>
      </c>
      <c r="K18">
        <f>10^(J18/20)</f>
        <v>0.99962273246301212</v>
      </c>
      <c r="L18"/>
      <c r="M18" s="6">
        <f>I18</f>
        <v>8074.03451719317036</v>
      </c>
      <c r="N18">
        <f>E18/K18</f>
        <v>1.00000850083089454</v>
      </c>
      <c r="O18">
        <f>AB18-AG18</f>
        <v>-0.202123701929281019</v>
      </c>
      <c r="Y18" t="n">
        <v>8074.03451719317036</v>
      </c>
      <c r="Z18" t="n">
        <v>0</v>
      </c>
      <c r="AA18" s="2" t="n">
        <v>8074.03451719317036</v>
      </c>
      <c r="AB18" t="n">
        <v>-0.207762756379054014</v>
      </c>
      <c r="AD18" t="n">
        <v>8074.03451719317036</v>
      </c>
      <c r="AE18" t="n">
        <v>0</v>
      </c>
      <c r="AF18" t="n">
        <v>8074.03451719317036</v>
      </c>
      <c r="AG18" t="n">
        <v>-0.0056390544497730799</v>
      </c>
    </row>
    <row r="19" spans="1:33">
      <c r="A19" s="2" t="n">
        <v>7529.87161358499998</v>
      </c>
      <c r="B19" t="n">
        <v>-0.00410345518966835066</v>
      </c>
      <c r="C19" s="2" t="n">
        <v>7529.87161358499998</v>
      </c>
      <c r="D19" t="n">
        <v>-0.0034298598856677498</v>
      </c>
      <c r="E19">
        <f>10^(D19/20)</f>
        <v>0.999605200741556388</v>
      </c>
      <c r="G19" s="2" t="n">
        <v>7529.87161358499998</v>
      </c>
      <c r="H19" t="n">
        <v>-0.00367908388851371981</v>
      </c>
      <c r="I19" s="2" t="n">
        <v>7529.87161358499998</v>
      </c>
      <c r="J19" t="n">
        <v>-0.00312026478569281984</v>
      </c>
      <c r="K19">
        <f>10^(J19/20)</f>
        <v>0.999640830757633836</v>
      </c>
      <c r="L19"/>
      <c r="M19" s="6">
        <f>I19</f>
        <v>7529.87161358499998</v>
      </c>
      <c r="N19">
        <f>E19/K19</f>
        <v>0.999964357182118135</v>
      </c>
      <c r="O19">
        <f>AB19-AG19</f>
        <v>-0.188198608842241999</v>
      </c>
      <c r="Y19" t="n">
        <v>7529.87161358499998</v>
      </c>
      <c r="Z19" t="n">
        <v>0</v>
      </c>
      <c r="AA19" s="2" t="n">
        <v>7529.87161358499998</v>
      </c>
      <c r="AB19" t="n">
        <v>-0.193834832520223976</v>
      </c>
      <c r="AD19" t="n">
        <v>7529.87161358499998</v>
      </c>
      <c r="AE19" t="n">
        <v>0</v>
      </c>
      <c r="AF19" t="n">
        <v>7529.87161358499998</v>
      </c>
      <c r="AG19" t="n">
        <v>-0.0056362236779818895</v>
      </c>
    </row>
    <row r="20" spans="1:33">
      <c r="A20" s="2" t="n">
        <v>7022.38346843032014</v>
      </c>
      <c r="B20" t="n">
        <v>-0.00396604693307889953</v>
      </c>
      <c r="C20" s="2" t="n">
        <v>7022.38346843032014</v>
      </c>
      <c r="D20" t="n">
        <v>-0.00359336282024693032</v>
      </c>
      <c r="E20">
        <f>10^(D20/20)</f>
        <v>0.999586384379354698</v>
      </c>
      <c r="G20" s="2" t="n">
        <v>7022.38346843032014</v>
      </c>
      <c r="H20" t="n">
        <v>-0.0038684455158170401</v>
      </c>
      <c r="I20" s="2" t="n">
        <v>7022.38346843032014</v>
      </c>
      <c r="J20" t="n">
        <v>-0.00298157219019208988</v>
      </c>
      <c r="K20">
        <f>10^(J20/20)</f>
        <v>0.999656792725153842</v>
      </c>
      <c r="L20"/>
      <c r="M20" s="6">
        <f>I20</f>
        <v>7022.38346843032014</v>
      </c>
      <c r="N20">
        <f>E20/K20</f>
        <v>0.999929567481248149</v>
      </c>
      <c r="O20">
        <f>AB20-AG20</f>
        <v>-0.175131566851348008</v>
      </c>
      <c r="Y20" t="n">
        <v>7022.38346843032014</v>
      </c>
      <c r="Z20" t="n">
        <v>0</v>
      </c>
      <c r="AA20" s="2" t="n">
        <v>7022.38346843032014</v>
      </c>
      <c r="AB20" t="n">
        <v>-0.180313854066810002</v>
      </c>
      <c r="AD20" t="n">
        <v>7022.38346843032014</v>
      </c>
      <c r="AE20" t="n">
        <v>0</v>
      </c>
      <c r="AF20" t="n">
        <v>7022.38346843032014</v>
      </c>
      <c r="AG20" t="n">
        <v>-0.00518228721546165971</v>
      </c>
    </row>
    <row r="21" spans="1:33">
      <c r="A21" s="2" t="n">
        <v>6549.0983257555099</v>
      </c>
      <c r="B21" t="n">
        <v>-0.00384143880173416008</v>
      </c>
      <c r="C21" s="2" t="n">
        <v>6549.0983257555099</v>
      </c>
      <c r="D21" t="n">
        <v>-0.00374984274725431987</v>
      </c>
      <c r="E21">
        <f>10^(D21/20)</f>
        <v>0.999568376575656892</v>
      </c>
      <c r="G21" s="2" t="n">
        <v>6549.0983257555099</v>
      </c>
      <c r="H21" t="n">
        <v>-0.00403206499111350958</v>
      </c>
      <c r="I21" s="2" t="n">
        <v>6549.0983257555099</v>
      </c>
      <c r="J21" t="n">
        <v>-0.00289314564511478025</v>
      </c>
      <c r="K21">
        <f>10^(J21/20)</f>
        <v>0.999666969765168112</v>
      </c>
      <c r="L21"/>
      <c r="M21" s="6">
        <f>I21</f>
        <v>6549.0983257555099</v>
      </c>
      <c r="N21">
        <f>E21/K21</f>
        <v>0.999901373965037443</v>
      </c>
      <c r="O21">
        <f>AB21-AG21</f>
        <v>-0.162937650450658005</v>
      </c>
      <c r="Y21" t="n">
        <v>6549.0983257555099</v>
      </c>
      <c r="Z21" t="n">
        <v>0</v>
      </c>
      <c r="AA21" s="2" t="n">
        <v>6549.0983257555099</v>
      </c>
      <c r="AB21" t="n">
        <v>-0.16783957405056098</v>
      </c>
      <c r="AD21" t="n">
        <v>6549.0983257555099</v>
      </c>
      <c r="AE21" t="n">
        <v>0</v>
      </c>
      <c r="AF21" t="n">
        <v>6549.0983257555099</v>
      </c>
      <c r="AG21" t="n">
        <v>-0.00490192359990259963</v>
      </c>
    </row>
    <row r="22" spans="1:33">
      <c r="A22" s="2" t="n">
        <v>6107.71101766688025</v>
      </c>
      <c r="B22" t="n">
        <v>-0.0037732004573120097</v>
      </c>
      <c r="C22" s="2" t="n">
        <v>6107.71101766688025</v>
      </c>
      <c r="D22" t="n">
        <v>-0.0039362195672204404</v>
      </c>
      <c r="E22">
        <f>10^(D22/20)</f>
        <v>0.999546928642927313</v>
      </c>
      <c r="G22" s="2" t="n">
        <v>6107.71101766688025</v>
      </c>
      <c r="H22" t="n">
        <v>-0.00425057784214912004</v>
      </c>
      <c r="I22" s="2" t="n">
        <v>6107.71101766688025</v>
      </c>
      <c r="J22" t="n">
        <v>-0.00282613051097868997</v>
      </c>
      <c r="K22">
        <f>10^(J22/20)</f>
        <v>0.999674682627903444</v>
      </c>
      <c r="L22"/>
      <c r="M22" s="6">
        <f>I22</f>
        <v>6107.71101766688025</v>
      </c>
      <c r="N22">
        <f>E22/K22</f>
        <v>0.999872204440907453</v>
      </c>
      <c r="O22">
        <f>AB22-AG22</f>
        <v>-0.152556698713625005</v>
      </c>
      <c r="Y22" t="n">
        <v>6107.71101766688025</v>
      </c>
      <c r="Z22" t="n">
        <v>0</v>
      </c>
      <c r="AA22" s="2" t="n">
        <v>6107.71101766688025</v>
      </c>
      <c r="AB22" t="n">
        <v>-0.157039232096395009</v>
      </c>
      <c r="AD22" t="n">
        <v>6107.71101766688025</v>
      </c>
      <c r="AE22" t="n">
        <v>0</v>
      </c>
      <c r="AF22" t="n">
        <v>6107.71101766688025</v>
      </c>
      <c r="AG22" t="n">
        <v>-0.0044825333827702698</v>
      </c>
    </row>
    <row r="23" spans="1:33">
      <c r="A23" s="2" t="n">
        <v>5696.07173687164959</v>
      </c>
      <c r="B23" t="n">
        <v>-0.0037622384366191195</v>
      </c>
      <c r="C23" s="2" t="n">
        <v>5696.07173687164959</v>
      </c>
      <c r="D23" t="n">
        <v>-0.00414721014390554998</v>
      </c>
      <c r="E23">
        <f>10^(D23/20)</f>
        <v>0.999522648755632481</v>
      </c>
      <c r="G23" s="2" t="n">
        <v>5696.07173687164959</v>
      </c>
      <c r="H23" t="n">
        <v>-0.00441848863158507044</v>
      </c>
      <c r="I23" s="2" t="n">
        <v>5696.07173687164959</v>
      </c>
      <c r="J23" t="n">
        <v>-0.00280154954413436954</v>
      </c>
      <c r="K23">
        <f>10^(J23/20)</f>
        <v>0.99967751169965311</v>
      </c>
      <c r="L23"/>
      <c r="M23" s="6">
        <f>I23</f>
        <v>5696.07173687164959</v>
      </c>
      <c r="N23">
        <f>E23/K23</f>
        <v>0.999845087098381669</v>
      </c>
      <c r="O23">
        <f>AB23-AG23</f>
        <v>-0.142189131204986001</v>
      </c>
      <c r="Y23" t="n">
        <v>5696.07173687164959</v>
      </c>
      <c r="Z23" t="n">
        <v>0</v>
      </c>
      <c r="AA23" s="2" t="n">
        <v>5696.07173687164959</v>
      </c>
      <c r="AB23" t="n">
        <v>-0.146381076972601987</v>
      </c>
      <c r="AD23" t="n">
        <v>5696.07173687164959</v>
      </c>
      <c r="AE23" t="n">
        <v>0</v>
      </c>
      <c r="AF23" t="n">
        <v>5696.07173687164959</v>
      </c>
      <c r="AG23" t="n">
        <v>-0.00419194576761583004</v>
      </c>
    </row>
    <row r="24" spans="1:33">
      <c r="A24" s="2" t="n">
        <v>5312.17556589340984</v>
      </c>
      <c r="B24" t="n">
        <v>-0.00380048483327399911</v>
      </c>
      <c r="C24" s="2" t="n">
        <v>5312.17556589340984</v>
      </c>
      <c r="D24" t="n">
        <v>-0.00434120653753453922</v>
      </c>
      <c r="E24">
        <f>10^(D24/20)</f>
        <v>0.999500325006203383</v>
      </c>
      <c r="G24" s="2" t="n">
        <v>5312.17556589340984</v>
      </c>
      <c r="H24" t="n">
        <v>-0.00462905189120756067</v>
      </c>
      <c r="I24" s="2" t="n">
        <v>5312.17556589340984</v>
      </c>
      <c r="J24" t="n">
        <v>-0.0028206498455440201</v>
      </c>
      <c r="K24">
        <f>10^(J24/20)</f>
        <v>0.99967531340775917</v>
      </c>
      <c r="L24"/>
      <c r="M24" s="6">
        <f>I24</f>
        <v>5312.17556589340984</v>
      </c>
      <c r="N24">
        <f>E24/K24</f>
        <v>0.999824954763602847</v>
      </c>
      <c r="O24">
        <f>AB24-AG24</f>
        <v>-0.132486799733044003</v>
      </c>
      <c r="Y24" t="n">
        <v>5312.17556589340984</v>
      </c>
      <c r="Z24" t="n">
        <v>0</v>
      </c>
      <c r="AA24" s="2" t="n">
        <v>5312.17556589340984</v>
      </c>
      <c r="AB24" t="n">
        <v>-0.136287925566704993</v>
      </c>
      <c r="AD24" t="n">
        <v>5312.17556589340984</v>
      </c>
      <c r="AE24" t="n">
        <v>0</v>
      </c>
      <c r="AF24" t="n">
        <v>5312.17556589340984</v>
      </c>
      <c r="AG24" t="n">
        <v>-0.00380112583366098988</v>
      </c>
    </row>
    <row r="25" spans="1:33">
      <c r="A25" s="2" t="n">
        <v>4954.15271198345999</v>
      </c>
      <c r="B25" t="n">
        <v>-0.00383367968268913994</v>
      </c>
      <c r="C25" s="2" t="n">
        <v>4954.15271198345999</v>
      </c>
      <c r="D25" t="n">
        <v>-0.00453927511093266034</v>
      </c>
      <c r="E25">
        <f>10^(D25/20)</f>
        <v>0.999477533173178223</v>
      </c>
      <c r="G25" s="2" t="n">
        <v>4954.15271198345999</v>
      </c>
      <c r="H25" t="n">
        <v>-0.00481857281588947028</v>
      </c>
      <c r="I25" s="2" t="n">
        <v>4954.15271198345999</v>
      </c>
      <c r="J25" t="n">
        <v>-0.0028503637772843998</v>
      </c>
      <c r="K25">
        <f>10^(J25/20)</f>
        <v>0.999671893581529147</v>
      </c>
      <c r="L25"/>
      <c r="M25" s="6">
        <f>I25</f>
        <v>4954.15271198345999</v>
      </c>
      <c r="N25">
        <f>E25/K25</f>
        <v>0.999805575799821078</v>
      </c>
      <c r="O25">
        <f>AB25-AG25</f>
        <v>-0.123066451982481007</v>
      </c>
      <c r="Y25" t="n">
        <v>4954.15271198345999</v>
      </c>
      <c r="Z25" t="n">
        <v>0</v>
      </c>
      <c r="AA25" s="2" t="n">
        <v>4954.15271198345999</v>
      </c>
      <c r="AB25" t="n">
        <v>-0.127095800880794996</v>
      </c>
      <c r="AD25" t="n">
        <v>4954.15271198345999</v>
      </c>
      <c r="AE25" t="n">
        <v>0</v>
      </c>
      <c r="AF25" t="n">
        <v>4954.15271198345999</v>
      </c>
      <c r="AG25" t="n">
        <v>-0.00402934889831386034</v>
      </c>
    </row>
    <row r="26" spans="1:33">
      <c r="A26" s="2" t="n">
        <v>4620.25940016635013</v>
      </c>
      <c r="B26" t="n">
        <v>-0.00391546608146320008</v>
      </c>
      <c r="C26" s="2" t="n">
        <v>4620.25940016635013</v>
      </c>
      <c r="D26" t="n">
        <v>-0.00474730775594400889</v>
      </c>
      <c r="E26">
        <f>10^(D26/20)</f>
        <v>0.999453595329897837</v>
      </c>
      <c r="G26" s="2" t="n">
        <v>4620.25940016635013</v>
      </c>
      <c r="H26" t="n">
        <v>-0.00503652417104830885</v>
      </c>
      <c r="I26" s="2" t="n">
        <v>4620.25940016635013</v>
      </c>
      <c r="J26" t="n">
        <v>-0.00294608410142940969</v>
      </c>
      <c r="K26">
        <f>10^(J26/20)</f>
        <v>0.999660877048459895</v>
      </c>
      <c r="L26"/>
      <c r="M26" s="6">
        <f>I26</f>
        <v>4620.25940016635013</v>
      </c>
      <c r="N26">
        <f>E26/K26</f>
        <v>0.999792647963603542</v>
      </c>
      <c r="O26">
        <f>AB26-AG26</f>
        <v>-0.115253198312871019</v>
      </c>
      <c r="Y26" t="n">
        <v>4620.25940016635013</v>
      </c>
      <c r="Z26" t="n">
        <v>0</v>
      </c>
      <c r="AA26" s="2" t="n">
        <v>4620.25940016635013</v>
      </c>
      <c r="AB26" t="n">
        <v>-0.118697871172401005</v>
      </c>
      <c r="AD26" t="n">
        <v>4620.25940016635013</v>
      </c>
      <c r="AE26" t="n">
        <v>0</v>
      </c>
      <c r="AF26" t="n">
        <v>4620.25940016635013</v>
      </c>
      <c r="AG26" t="n">
        <v>-0.00344467285952987012</v>
      </c>
    </row>
    <row r="27" spans="1:33">
      <c r="A27" s="2" t="n">
        <v>4308.86938006380024</v>
      </c>
      <c r="B27" t="n">
        <v>-0.00396752969475432948</v>
      </c>
      <c r="C27" s="2" t="n">
        <v>4308.86938006380024</v>
      </c>
      <c r="D27" t="n">
        <v>-0.00490878263659323011</v>
      </c>
      <c r="E27">
        <f>10^(D27/20)</f>
        <v>0.999435015177876807</v>
      </c>
      <c r="G27" s="2" t="n">
        <v>4308.86938006380024</v>
      </c>
      <c r="H27" t="n">
        <v>-0.00521652484869667976</v>
      </c>
      <c r="I27" s="2" t="n">
        <v>4308.86938006380024</v>
      </c>
      <c r="J27" t="n">
        <v>-0.00299773423100742029</v>
      </c>
      <c r="K27">
        <f>10^(J27/20)</f>
        <v>0.999654932641787397</v>
      </c>
      <c r="L27"/>
      <c r="M27" s="6">
        <f>I27</f>
        <v>4308.86938006380024</v>
      </c>
      <c r="N27">
        <f>E27/K27</f>
        <v>0.999780006623555906</v>
      </c>
      <c r="O27">
        <f>AB27-AG27</f>
        <v>-0.107433603610445005</v>
      </c>
      <c r="Y27" t="n">
        <v>4308.86938006380024</v>
      </c>
      <c r="Z27" t="n">
        <v>0</v>
      </c>
      <c r="AA27" s="2" t="n">
        <v>4308.86938006380024</v>
      </c>
      <c r="AB27" t="n">
        <v>-0.110687899831191006</v>
      </c>
      <c r="AD27" t="n">
        <v>4308.86938006380024</v>
      </c>
      <c r="AE27" t="n">
        <v>0</v>
      </c>
      <c r="AF27" t="n">
        <v>4308.86938006380024</v>
      </c>
      <c r="AG27" t="n">
        <v>-0.00325429622074579994</v>
      </c>
    </row>
    <row r="28" spans="1:33">
      <c r="A28" s="2" t="n">
        <v>4018.46600513011981</v>
      </c>
      <c r="B28" t="n">
        <v>-0.00407404213959619987</v>
      </c>
      <c r="C28" s="2" t="n">
        <v>4018.46600513011981</v>
      </c>
      <c r="D28" t="n">
        <v>-0.00513208620891142075</v>
      </c>
      <c r="E28">
        <f>10^(D28/20)</f>
        <v>0.999409321259382999</v>
      </c>
      <c r="G28" s="2" t="n">
        <v>4018.46600513011981</v>
      </c>
      <c r="H28" t="n">
        <v>-0.00542651535465374035</v>
      </c>
      <c r="I28" s="2" t="n">
        <v>4018.46600513011981</v>
      </c>
      <c r="J28" t="n">
        <v>-0.00311689063305156022</v>
      </c>
      <c r="K28">
        <f>10^(J28/20)</f>
        <v>0.999641219081863497</v>
      </c>
      <c r="L28"/>
      <c r="M28" s="6">
        <f>I28</f>
        <v>4018.46600513011981</v>
      </c>
      <c r="N28">
        <f>E28/K28</f>
        <v>0.99976801894714491</v>
      </c>
      <c r="O28">
        <f>AB28-AG28</f>
        <v>-0.099797109103121997</v>
      </c>
      <c r="Y28" t="n">
        <v>4018.46600513011981</v>
      </c>
      <c r="Z28" t="n">
        <v>0</v>
      </c>
      <c r="AA28" s="2" t="n">
        <v>4018.46600513011981</v>
      </c>
      <c r="AB28" t="n">
        <v>-0.103002305474660982</v>
      </c>
      <c r="AD28" t="n">
        <v>4018.46600513011981</v>
      </c>
      <c r="AE28" t="n">
        <v>0</v>
      </c>
      <c r="AF28" t="n">
        <v>4018.46600513011981</v>
      </c>
      <c r="AG28" t="n">
        <v>-0.00320519637153892978</v>
      </c>
    </row>
    <row r="29" spans="1:33">
      <c r="A29" s="2" t="n">
        <v>3747.63484572079005</v>
      </c>
      <c r="B29" t="n">
        <v>-0.00417746550604047062</v>
      </c>
      <c r="C29" s="2" t="n">
        <v>3747.63484572079005</v>
      </c>
      <c r="D29" t="n">
        <v>-0.00531766714038682942</v>
      </c>
      <c r="E29">
        <f>10^(D29/20)</f>
        <v>0.999387968313499364</v>
      </c>
      <c r="G29" s="2" t="n">
        <v>3747.63484572079005</v>
      </c>
      <c r="H29" t="n">
        <v>-0.00560125922125245879</v>
      </c>
      <c r="I29" s="2" t="n">
        <v>3747.63484572079005</v>
      </c>
      <c r="J29" t="n">
        <v>-0.00319447432836848</v>
      </c>
      <c r="K29">
        <f>10^(J29/20)</f>
        <v>0.999632290173413907</v>
      </c>
      <c r="L29"/>
      <c r="M29" s="6">
        <f>I29</f>
        <v>3747.63484572079005</v>
      </c>
      <c r="N29">
        <f>E29/K29</f>
        <v>0.999755588267490047</v>
      </c>
      <c r="O29">
        <f>AB29-AG29</f>
        <v>-0.0926495086802679957</v>
      </c>
      <c r="Y29" t="n">
        <v>3747.63484572079005</v>
      </c>
      <c r="Z29" t="n">
        <v>0</v>
      </c>
      <c r="AA29" s="2" t="n">
        <v>3747.63484572079005</v>
      </c>
      <c r="AB29" t="n">
        <v>-0.0956955920788118064</v>
      </c>
      <c r="AD29" t="n">
        <v>3747.63484572079005</v>
      </c>
      <c r="AE29" t="n">
        <v>0</v>
      </c>
      <c r="AF29" t="n">
        <v>3747.63484572079005</v>
      </c>
      <c r="AG29" t="n">
        <v>-0.00304608339854440047</v>
      </c>
    </row>
    <row r="30" spans="1:33">
      <c r="A30" s="2" t="n">
        <v>3495.05680001538985</v>
      </c>
      <c r="B30" t="n">
        <v>-0.00428575361969055102</v>
      </c>
      <c r="C30" s="2" t="n">
        <v>3495.05680001538985</v>
      </c>
      <c r="D30" t="n">
        <v>-0.00552394623201467994</v>
      </c>
      <c r="E30">
        <f>10^(D30/20)</f>
        <v>0.999364234372248461</v>
      </c>
      <c r="G30" s="2" t="n">
        <v>3495.05680001538985</v>
      </c>
      <c r="H30" t="n">
        <v>-0.00580455705087354001</v>
      </c>
      <c r="I30" s="2" t="n">
        <v>3495.05680001538985</v>
      </c>
      <c r="J30" t="n">
        <v>-0.00330581604604112034</v>
      </c>
      <c r="K30">
        <f>10^(J30/20)</f>
        <v>0.999619476280132702</v>
      </c>
      <c r="L30"/>
      <c r="M30" s="6">
        <f>I30</f>
        <v>3495.05680001538985</v>
      </c>
      <c r="N30">
        <f>E30/K30</f>
        <v>0.999744660929542128</v>
      </c>
      <c r="O30">
        <f>AB30-AG30</f>
        <v>-0.0868907130709430042</v>
      </c>
      <c r="Y30" t="n">
        <v>3495.05680001538985</v>
      </c>
      <c r="Z30" t="n">
        <v>0</v>
      </c>
      <c r="AA30" s="2" t="n">
        <v>3495.05680001538985</v>
      </c>
      <c r="AB30" t="n">
        <v>-0.0895040979445411899</v>
      </c>
      <c r="AD30" t="n">
        <v>3495.05680001538985</v>
      </c>
      <c r="AE30" t="n">
        <v>0</v>
      </c>
      <c r="AF30" t="n">
        <v>3495.05680001538985</v>
      </c>
      <c r="AG30" t="n">
        <v>-0.00261338487359807958</v>
      </c>
    </row>
    <row r="31" spans="1:33">
      <c r="A31" s="2" t="n">
        <v>3259.50166924131008</v>
      </c>
      <c r="B31" t="n">
        <v>-0.00435463334683842973</v>
      </c>
      <c r="C31" s="2" t="n">
        <v>3259.50166924131008</v>
      </c>
      <c r="D31" t="n">
        <v>-0.00567765992484975079</v>
      </c>
      <c r="E31">
        <f>10^(D31/20)</f>
        <v>0.999346548836960658</v>
      </c>
      <c r="G31" s="2" t="n">
        <v>3259.50166924131008</v>
      </c>
      <c r="H31" t="n">
        <v>-0.00597545052030008073</v>
      </c>
      <c r="I31" s="2" t="n">
        <v>3259.50166924131008</v>
      </c>
      <c r="J31" t="n">
        <v>-0.0034197689078303295</v>
      </c>
      <c r="K31">
        <f>10^(J31/20)</f>
        <v>0.999606362050321451</v>
      </c>
      <c r="L31"/>
      <c r="M31" s="6">
        <f>I31</f>
        <v>3259.50166924131008</v>
      </c>
      <c r="N31">
        <f>E31/K31</f>
        <v>0.999740084474025181</v>
      </c>
      <c r="O31">
        <f>AB31-AG31</f>
        <v>-0.0813575371713570128</v>
      </c>
      <c r="Y31" t="n">
        <v>3259.50166924131008</v>
      </c>
      <c r="Z31" t="n">
        <v>0</v>
      </c>
      <c r="AA31" s="2" t="n">
        <v>3259.50166924131008</v>
      </c>
      <c r="AB31" t="n">
        <v>-0.0837932550722370983</v>
      </c>
      <c r="AD31" t="n">
        <v>3259.50166924131008</v>
      </c>
      <c r="AE31" t="n">
        <v>0</v>
      </c>
      <c r="AF31" t="n">
        <v>3259.50166924131008</v>
      </c>
      <c r="AG31" t="n">
        <v>-0.00243571790088026008</v>
      </c>
    </row>
    <row r="32" spans="1:33">
      <c r="A32" s="2" t="n">
        <v>3039.82216590588996</v>
      </c>
      <c r="B32" t="n">
        <v>-0.00444635996847693971</v>
      </c>
      <c r="C32" s="2" t="n">
        <v>3039.82216590588996</v>
      </c>
      <c r="D32" t="n">
        <v>-0.00580328745876418051</v>
      </c>
      <c r="E32">
        <f>10^(D32/20)</f>
        <v>0.999332094988273845</v>
      </c>
      <c r="G32" s="2" t="n">
        <v>3039.82216590588996</v>
      </c>
      <c r="H32" t="n">
        <v>-0.00609670999012779014</v>
      </c>
      <c r="I32" s="2" t="n">
        <v>3039.82216590588996</v>
      </c>
      <c r="J32" t="n">
        <v>-0.00351910734784172963</v>
      </c>
      <c r="K32">
        <f>10^(J32/20)</f>
        <v>0.999594929857082803</v>
      </c>
      <c r="L32"/>
      <c r="M32" s="6">
        <f>I32</f>
        <v>3039.82216590588996</v>
      </c>
      <c r="N32">
        <f>E32/K32</f>
        <v>0.999737058621489361</v>
      </c>
      <c r="O32">
        <f>AB32-AG32</f>
        <v>-0.0755066031899780121</v>
      </c>
      <c r="Y32" t="n">
        <v>3039.82216590588996</v>
      </c>
      <c r="Z32" t="n">
        <v>0</v>
      </c>
      <c r="AA32" s="2" t="n">
        <v>3039.82216590588996</v>
      </c>
      <c r="AB32" t="n">
        <v>-0.0779676439195213966</v>
      </c>
      <c r="AD32" t="n">
        <v>3039.82216590588996</v>
      </c>
      <c r="AE32" t="n">
        <v>0</v>
      </c>
      <c r="AF32" t="n">
        <v>3039.82216590588996</v>
      </c>
      <c r="AG32" t="n">
        <v>-0.00246104072954266995</v>
      </c>
    </row>
    <row r="33" spans="1:33">
      <c r="A33" s="2" t="n">
        <v>2834.94832585363019</v>
      </c>
      <c r="B33" t="n">
        <v>-0.00457069211544385023</v>
      </c>
      <c r="C33" s="2" t="n">
        <v>2834.94832585363019</v>
      </c>
      <c r="D33" t="n">
        <v>-0.00597572219198474031</v>
      </c>
      <c r="E33">
        <f>10^(D33/20)</f>
        <v>0.999312256162325063</v>
      </c>
      <c r="G33" s="2" t="n">
        <v>2834.94832585363019</v>
      </c>
      <c r="H33" t="n">
        <v>-0.00623408100788997999</v>
      </c>
      <c r="I33" s="2" t="n">
        <v>2834.94832585363019</v>
      </c>
      <c r="J33" t="n">
        <v>-0.00361610518792013025</v>
      </c>
      <c r="K33">
        <f>10^(J33/20)</f>
        <v>0.999583767153915836</v>
      </c>
      <c r="L33"/>
      <c r="M33" s="6">
        <f>I33</f>
        <v>2834.94832585363019</v>
      </c>
      <c r="N33">
        <f>E33/K33</f>
        <v>0.999728375949557346</v>
      </c>
      <c r="O33">
        <f>AB33-AG33</f>
        <v>-0.0709410330339319994</v>
      </c>
      <c r="Y33" t="n">
        <v>2834.94832585363019</v>
      </c>
      <c r="Z33" t="n">
        <v>0</v>
      </c>
      <c r="AA33" s="2" t="n">
        <v>2834.94832585363019</v>
      </c>
      <c r="AB33" t="n">
        <v>-0.0728651245749460941</v>
      </c>
      <c r="AD33" t="n">
        <v>2834.94832585363019</v>
      </c>
      <c r="AE33" t="n">
        <v>0</v>
      </c>
      <c r="AF33" t="n">
        <v>2834.94832585363019</v>
      </c>
      <c r="AG33" t="n">
        <v>-0.00192409154101369992</v>
      </c>
    </row>
    <row r="34" spans="1:33">
      <c r="A34" s="2" t="n">
        <v>2643.88229693207995</v>
      </c>
      <c r="B34" t="n">
        <v>-0.00463513526076239035</v>
      </c>
      <c r="C34" s="2" t="n">
        <v>2643.88229693207995</v>
      </c>
      <c r="D34" t="n">
        <v>-0.00609642363199318993</v>
      </c>
      <c r="E34">
        <f>10^(D34/20)</f>
        <v>0.999298369549058663</v>
      </c>
      <c r="G34" s="2" t="n">
        <v>2643.88229693207995</v>
      </c>
      <c r="H34" t="n">
        <v>-0.0063687191830718195</v>
      </c>
      <c r="I34" s="2" t="n">
        <v>2643.88229693207995</v>
      </c>
      <c r="J34" t="n">
        <v>-0.00368432652977814001</v>
      </c>
      <c r="K34">
        <f>10^(J34/20)</f>
        <v>0.999575916181714241</v>
      </c>
      <c r="L34"/>
      <c r="M34" s="6">
        <f>I34</f>
        <v>2643.88229693207995</v>
      </c>
      <c r="N34">
        <f>E34/K34</f>
        <v>0.999722335614372248</v>
      </c>
      <c r="O34">
        <f>AB34-AG34</f>
        <v>-0.0656182450637179926</v>
      </c>
      <c r="Y34" t="n">
        <v>2643.88229693207995</v>
      </c>
      <c r="Z34" t="n">
        <v>0</v>
      </c>
      <c r="AA34" s="2" t="n">
        <v>2643.88229693207995</v>
      </c>
      <c r="AB34" t="n">
        <v>-0.0677712298136157099</v>
      </c>
      <c r="AD34" t="n">
        <v>2643.88229693207995</v>
      </c>
      <c r="AE34" t="n">
        <v>0</v>
      </c>
      <c r="AF34" t="n">
        <v>2643.88229693207995</v>
      </c>
      <c r="AG34" t="n">
        <v>-0.00215298474989821997</v>
      </c>
    </row>
    <row r="35" spans="1:33">
      <c r="A35" s="2" t="n">
        <v>2465.69347888414995</v>
      </c>
      <c r="B35" t="n">
        <v>-0.00470529561926079953</v>
      </c>
      <c r="C35" s="2" t="n">
        <v>2465.69347888414995</v>
      </c>
      <c r="D35" t="n">
        <v>-0.00621726832454926992</v>
      </c>
      <c r="E35">
        <f>10^(D35/20)</f>
        <v>0.999284466648007808</v>
      </c>
      <c r="G35" s="2" t="n">
        <v>2465.69347888414995</v>
      </c>
      <c r="H35" t="n">
        <v>-0.00649091708626954045</v>
      </c>
      <c r="I35" s="2" t="n">
        <v>2465.69347888414995</v>
      </c>
      <c r="J35" t="n">
        <v>-0.00377037230230730014</v>
      </c>
      <c r="K35">
        <f>10^(J35/20)</f>
        <v>0.999566014046243367</v>
      </c>
      <c r="L35"/>
      <c r="M35" s="6">
        <f>I35</f>
        <v>2465.69347888414995</v>
      </c>
      <c r="N35">
        <f>E35/K35</f>
        <v>0.999718330361097074</v>
      </c>
      <c r="O35">
        <f>AB35-AG35</f>
        <v>-0.0609706490322999972</v>
      </c>
      <c r="Y35" t="n">
        <v>2465.69347888414995</v>
      </c>
      <c r="Z35" t="n">
        <v>0</v>
      </c>
      <c r="AA35" s="2" t="n">
        <v>2465.69347888414995</v>
      </c>
      <c r="AB35" t="n">
        <v>-0.0629216646959775971</v>
      </c>
      <c r="AD35" t="n">
        <v>2465.69347888414995</v>
      </c>
      <c r="AE35" t="n">
        <v>0</v>
      </c>
      <c r="AF35" t="n">
        <v>2465.69347888414995</v>
      </c>
      <c r="AG35" t="n">
        <v>-0.00195101566367839023</v>
      </c>
    </row>
    <row r="36" spans="1:33">
      <c r="A36" s="2" t="n">
        <v>2299.51399079548992</v>
      </c>
      <c r="B36" t="n">
        <v>-0.00478950887134308978</v>
      </c>
      <c r="C36" s="2" t="n">
        <v>2299.51399079548992</v>
      </c>
      <c r="D36" t="n">
        <v>-0.00632018004851703008</v>
      </c>
      <c r="E36">
        <f>10^(D36/20)</f>
        <v>0.999272627045816719</v>
      </c>
      <c r="G36" s="2" t="n">
        <v>2299.51399079548992</v>
      </c>
      <c r="H36" t="n">
        <v>-0.00659202557271736911</v>
      </c>
      <c r="I36" s="2" t="n">
        <v>2299.51399079548992</v>
      </c>
      <c r="J36" t="n">
        <v>-0.00380952096335653945</v>
      </c>
      <c r="K36">
        <f>10^(J36/20)</f>
        <v>0.999561508856270287</v>
      </c>
      <c r="L36"/>
      <c r="M36" s="6">
        <f>I36</f>
        <v>2299.51399079548992</v>
      </c>
      <c r="N36">
        <f>E36/K36</f>
        <v>0.999710991461862442</v>
      </c>
      <c r="O36">
        <f>AB36-AG36</f>
        <v>-0.0572427348301399963</v>
      </c>
      <c r="Y36" t="n">
        <v>2299.51399079548992</v>
      </c>
      <c r="Z36" t="n">
        <v>0</v>
      </c>
      <c r="AA36" s="2" t="n">
        <v>2299.51399079548992</v>
      </c>
      <c r="AB36" t="n">
        <v>-0.0591147329275259015</v>
      </c>
      <c r="AD36" t="n">
        <v>2299.51399079548992</v>
      </c>
      <c r="AE36" t="n">
        <v>0</v>
      </c>
      <c r="AF36" t="n">
        <v>2299.51399079548992</v>
      </c>
      <c r="AG36" t="n">
        <v>-0.00187199809738558987</v>
      </c>
    </row>
    <row r="37" spans="1:33">
      <c r="A37" s="2" t="n">
        <v>2144.53444402065998</v>
      </c>
      <c r="B37" t="n">
        <v>-0.0048587333453732402</v>
      </c>
      <c r="C37" s="2" t="n">
        <v>2144.53444402065998</v>
      </c>
      <c r="D37" t="n">
        <v>-0.00643074419589816948</v>
      </c>
      <c r="E37">
        <f>10^(D37/20)</f>
        <v>0.999259907217746779</v>
      </c>
      <c r="G37" s="2" t="n">
        <v>2144.53444402065998</v>
      </c>
      <c r="H37" t="n">
        <v>-0.00667661455939628912</v>
      </c>
      <c r="I37" s="2" t="n">
        <v>2144.53444402065998</v>
      </c>
      <c r="J37" t="n">
        <v>-0.00390009170458337007</v>
      </c>
      <c r="K37">
        <f>10^(J37/20)</f>
        <v>0.999551086140978384</v>
      </c>
      <c r="L37"/>
      <c r="M37" s="6">
        <f>I37</f>
        <v>2144.53444402065998</v>
      </c>
      <c r="N37">
        <f>E37/K37</f>
        <v>0.999708690303809178</v>
      </c>
      <c r="O37">
        <f>AB37-AG37</f>
        <v>-0.0533678675000719949</v>
      </c>
      <c r="Y37" t="n">
        <v>2144.53444402065998</v>
      </c>
      <c r="Z37" t="n">
        <v>0</v>
      </c>
      <c r="AA37" s="2" t="n">
        <v>2144.53444402065998</v>
      </c>
      <c r="AB37" t="n">
        <v>-0.0548612005634935951</v>
      </c>
      <c r="AD37" t="n">
        <v>2144.53444402065998</v>
      </c>
      <c r="AE37" t="n">
        <v>0</v>
      </c>
      <c r="AF37" t="n">
        <v>2144.53444402065998</v>
      </c>
      <c r="AG37" t="n">
        <v>-0.00149333306342214005</v>
      </c>
    </row>
    <row r="38" spans="1:33">
      <c r="A38" s="2" t="n">
        <v>2000.00000000001</v>
      </c>
      <c r="B38" t="n">
        <v>-0.00490889024588784029</v>
      </c>
      <c r="C38" s="2" t="n">
        <v>2000.00000000001</v>
      </c>
      <c r="D38" t="n">
        <v>-0.00651226850892344</v>
      </c>
      <c r="E38">
        <f>10^(D38/20)</f>
        <v>0.999250528374754765</v>
      </c>
      <c r="G38" s="2" t="n">
        <v>2000.00000000001</v>
      </c>
      <c r="H38" t="n">
        <v>-0.00678007813384498004</v>
      </c>
      <c r="I38" s="2" t="n">
        <v>2000.00000000001</v>
      </c>
      <c r="J38" t="n">
        <v>-0.0039418153860504006</v>
      </c>
      <c r="K38">
        <f>10^(J38/20)</f>
        <v>0.999546284692570453</v>
      </c>
      <c r="L38"/>
      <c r="M38" s="6">
        <f>I38</f>
        <v>2000.00000000001</v>
      </c>
      <c r="N38">
        <f>E38/K38</f>
        <v>0.999704109432104104</v>
      </c>
      <c r="O38">
        <f>AB38-AG38</f>
        <v>-0.0498409762276989987</v>
      </c>
      <c r="Y38" t="n">
        <v>2000.00000000001</v>
      </c>
      <c r="Z38" t="n">
        <v>0</v>
      </c>
      <c r="AA38" s="2" t="n">
        <v>2000.00000000001</v>
      </c>
      <c r="AB38" t="n">
        <v>-0.0513513795633571046</v>
      </c>
      <c r="AD38" t="n">
        <v>2000.00000000001</v>
      </c>
      <c r="AE38" t="n">
        <v>0</v>
      </c>
      <c r="AF38" t="n">
        <v>2000.00000000001</v>
      </c>
      <c r="AG38" t="n">
        <v>-0.00151040333565787988</v>
      </c>
    </row>
    <row r="39" spans="1:33">
      <c r="A39" s="2" t="n">
        <v>1865.20669376644992</v>
      </c>
      <c r="B39" t="n">
        <v>-0.00494501824648135013</v>
      </c>
      <c r="C39" s="2" t="n">
        <v>1865.20669376644992</v>
      </c>
      <c r="D39" t="n">
        <v>-0.00655117940217113848</v>
      </c>
      <c r="E39">
        <f>10^(D39/20)</f>
        <v>0.999246051960112247</v>
      </c>
      <c r="G39" s="2" t="n">
        <v>1865.20669376644992</v>
      </c>
      <c r="H39" t="n">
        <v>-0.00683403305798995131</v>
      </c>
      <c r="I39" s="2" t="n">
        <v>1865.20669376644992</v>
      </c>
      <c r="J39" t="n">
        <v>-0.00400112399715248035</v>
      </c>
      <c r="K39">
        <f>10^(J39/20)</f>
        <v>0.999539459657720464</v>
      </c>
      <c r="L39"/>
      <c r="M39" s="6">
        <f>I39</f>
        <v>1865.20669376644992</v>
      </c>
      <c r="N39">
        <f>E39/K39</f>
        <v>0.999706457114050906</v>
      </c>
      <c r="O39">
        <f>AB39-AG39</f>
        <v>-0.0466798297902640069</v>
      </c>
      <c r="Y39" t="n">
        <v>1865.20669376644992</v>
      </c>
      <c r="Z39" t="n">
        <v>0</v>
      </c>
      <c r="AA39" s="2" t="n">
        <v>1865.20669376644992</v>
      </c>
      <c r="AB39" t="n">
        <v>-0.047993048313912805</v>
      </c>
      <c r="AD39" t="n">
        <v>1865.20669376644992</v>
      </c>
      <c r="AE39" t="n">
        <v>0</v>
      </c>
      <c r="AF39" t="n">
        <v>1865.20669376644992</v>
      </c>
      <c r="AG39" t="n">
        <v>-0.00131321852364862979</v>
      </c>
    </row>
    <row r="40" spans="1:33">
      <c r="A40" s="2" t="n">
        <v>1739.49800523557997</v>
      </c>
      <c r="B40" t="n">
        <v>-0.00500714205009935043</v>
      </c>
      <c r="C40" s="2" t="n">
        <v>1739.49800523557997</v>
      </c>
      <c r="D40" t="n">
        <v>-0.00662590928960938008</v>
      </c>
      <c r="E40">
        <f>10^(D40/20)</f>
        <v>0.999237454887521004</v>
      </c>
      <c r="G40" s="2" t="n">
        <v>1739.49800523557997</v>
      </c>
      <c r="H40" t="n">
        <v>-0.00687843891506027028</v>
      </c>
      <c r="I40" s="2" t="n">
        <v>1739.49800523557997</v>
      </c>
      <c r="J40" t="n">
        <v>-0.00403358429286500986</v>
      </c>
      <c r="K40">
        <f>10^(J40/20)</f>
        <v>0.999535724256149649</v>
      </c>
      <c r="L40"/>
      <c r="M40" s="6">
        <f>I40</f>
        <v>1739.49800523557997</v>
      </c>
      <c r="N40">
        <f>E40/K40</f>
        <v>0.999701592087815527</v>
      </c>
      <c r="O40">
        <f>AB40-AG40</f>
        <v>-0.0428314503997739937</v>
      </c>
      <c r="Y40" t="n">
        <v>1739.49800523557997</v>
      </c>
      <c r="Z40" t="n">
        <v>0</v>
      </c>
      <c r="AA40" s="2" t="n">
        <v>1739.49800523557997</v>
      </c>
      <c r="AB40" t="n">
        <v>-0.0446458403549173077</v>
      </c>
      <c r="AD40" t="n">
        <v>1739.49800523557997</v>
      </c>
      <c r="AE40" t="n">
        <v>0</v>
      </c>
      <c r="AF40" t="n">
        <v>1739.49800523557997</v>
      </c>
      <c r="AG40" t="n">
        <v>-0.00181438995514326979</v>
      </c>
    </row>
    <row r="41" spans="1:33">
      <c r="A41" s="2" t="n">
        <v>1622.26166157937996</v>
      </c>
      <c r="B41" t="n">
        <v>-0.00503077368826042992</v>
      </c>
      <c r="C41" s="2" t="n">
        <v>1622.26166157937996</v>
      </c>
      <c r="D41" t="n">
        <v>-0.00666748603667637951</v>
      </c>
      <c r="E41">
        <f>10^(D41/20)</f>
        <v>0.999232671849141063</v>
      </c>
      <c r="G41" s="2" t="n">
        <v>1622.26166157937996</v>
      </c>
      <c r="H41" t="n">
        <v>-0.00694327948560191821</v>
      </c>
      <c r="I41" s="2" t="n">
        <v>1622.26166157937996</v>
      </c>
      <c r="J41" t="n">
        <v>-0.0040696537596059903</v>
      </c>
      <c r="K41">
        <f>10^(J41/20)</f>
        <v>0.999531573541921503</v>
      </c>
      <c r="L41"/>
      <c r="M41" s="6">
        <f>I41</f>
        <v>1622.26166157937996</v>
      </c>
      <c r="N41">
        <f>E41/K41</f>
        <v>0.999700958228140912</v>
      </c>
      <c r="O41">
        <f>AB41-AG41</f>
        <v>-0.0405496317715120025</v>
      </c>
      <c r="Y41" t="n">
        <v>1622.26166157937996</v>
      </c>
      <c r="Z41" t="n">
        <v>0</v>
      </c>
      <c r="AA41" s="2" t="n">
        <v>1622.26166157937996</v>
      </c>
      <c r="AB41" t="n">
        <v>-0.0418611537981519</v>
      </c>
      <c r="AD41" t="n">
        <v>1622.26166157937996</v>
      </c>
      <c r="AE41" t="n">
        <v>0</v>
      </c>
      <c r="AF41" t="n">
        <v>1622.26166157937996</v>
      </c>
      <c r="AG41" t="n">
        <v>-0.00131152202663997985</v>
      </c>
    </row>
    <row r="42" spans="1:33">
      <c r="A42" s="2" t="n">
        <v>1512.92665510927009</v>
      </c>
      <c r="B42" t="n">
        <v>-0.00505890696760783065</v>
      </c>
      <c r="C42" s="2" t="n">
        <v>1512.92665510927009</v>
      </c>
      <c r="D42" t="n">
        <v>-0.00670833228340362986</v>
      </c>
      <c r="E42">
        <f>10^(D42/20)</f>
        <v>0.999227972870685477</v>
      </c>
      <c r="G42" s="2" t="n">
        <v>1512.92665510927009</v>
      </c>
      <c r="H42" t="n">
        <v>-0.00701712777128277043</v>
      </c>
      <c r="I42" s="2" t="n">
        <v>1512.92665510927009</v>
      </c>
      <c r="J42" t="n">
        <v>-0.00414119446293045002</v>
      </c>
      <c r="K42">
        <f>10^(J42/20)</f>
        <v>0.999523341006132959</v>
      </c>
      <c r="L42"/>
      <c r="M42" s="6">
        <f>I42</f>
        <v>1512.92665510927009</v>
      </c>
      <c r="N42">
        <f>E42/K42</f>
        <v>0.999704491007532958</v>
      </c>
      <c r="O42">
        <f>AB42-AG42</f>
        <v>-0.0375540051907139993</v>
      </c>
      <c r="Y42" t="n">
        <v>1512.92665510927009</v>
      </c>
      <c r="Z42" t="n">
        <v>0</v>
      </c>
      <c r="AA42" s="2" t="n">
        <v>1512.92665510927009</v>
      </c>
      <c r="AB42" t="n">
        <v>-0.038585957308271194</v>
      </c>
      <c r="AD42" t="n">
        <v>1512.92665510927009</v>
      </c>
      <c r="AE42" t="n">
        <v>0</v>
      </c>
      <c r="AF42" t="n">
        <v>1512.92665510927009</v>
      </c>
      <c r="AG42" t="n">
        <v>-0.00103195211755746996</v>
      </c>
    </row>
    <row r="43" spans="1:33">
      <c r="A43" s="2" t="n">
        <v>1410.96046214373996</v>
      </c>
      <c r="B43" t="n">
        <v>-0.0050799979406311202</v>
      </c>
      <c r="C43" s="2" t="n">
        <v>1410.96046214373996</v>
      </c>
      <c r="D43" t="n">
        <v>-0.00678010077728751082</v>
      </c>
      <c r="E43">
        <f>10^(D43/20)</f>
        <v>0.999219716630579313</v>
      </c>
      <c r="G43" s="2" t="n">
        <v>1410.96046214373996</v>
      </c>
      <c r="H43" t="n">
        <v>-0.00705020836868746059</v>
      </c>
      <c r="I43" s="2" t="n">
        <v>1410.96046214373996</v>
      </c>
      <c r="J43" t="n">
        <v>-0.00413561896185844002</v>
      </c>
      <c r="K43">
        <f>10^(J43/20)</f>
        <v>0.999523982603653494</v>
      </c>
      <c r="L43"/>
      <c r="M43" s="6">
        <f>I43</f>
        <v>1410.96046214373996</v>
      </c>
      <c r="N43">
        <f>E43/K43</f>
        <v>0.999695589122051409</v>
      </c>
      <c r="O43">
        <f>AB43-AG43</f>
        <v>-0.0347268669207210001</v>
      </c>
      <c r="Y43" t="n">
        <v>1410.96046214373996</v>
      </c>
      <c r="Z43" t="n">
        <v>0</v>
      </c>
      <c r="AA43" s="2" t="n">
        <v>1410.96046214373996</v>
      </c>
      <c r="AB43" t="n">
        <v>-0.0359481754606462989</v>
      </c>
      <c r="AD43" t="n">
        <v>1410.96046214373996</v>
      </c>
      <c r="AE43" t="n">
        <v>0</v>
      </c>
      <c r="AF43" t="n">
        <v>1410.96046214373996</v>
      </c>
      <c r="AG43" t="n">
        <v>-0.00122130853992529986</v>
      </c>
    </row>
    <row r="44" spans="1:33">
      <c r="A44" s="2" t="n">
        <v>1315.86644931514002</v>
      </c>
      <c r="B44" t="n">
        <v>-0.00511945342159696004</v>
      </c>
      <c r="C44" s="2" t="n">
        <v>1315.86644931514002</v>
      </c>
      <c r="D44" t="n">
        <v>-0.00680769424500519982</v>
      </c>
      <c r="E44">
        <f>10^(D44/20)</f>
        <v>0.999216542299065935</v>
      </c>
      <c r="G44" s="2" t="n">
        <v>1315.86644931514002</v>
      </c>
      <c r="H44" t="n">
        <v>-0.00711425011071006086</v>
      </c>
      <c r="I44" s="2" t="n">
        <v>1315.86644931514002</v>
      </c>
      <c r="J44" t="n">
        <v>-0.00418016064446356062</v>
      </c>
      <c r="K44">
        <f>10^(J44/20)</f>
        <v>0.999518857007118555</v>
      </c>
      <c r="L44"/>
      <c r="M44" s="6">
        <f>I44</f>
        <v>1315.86644931514002</v>
      </c>
      <c r="N44">
        <f>E44/K44</f>
        <v>0.99969753976532445</v>
      </c>
      <c r="O44">
        <f>AB44-AG44</f>
        <v>-0.0327106509010380009</v>
      </c>
      <c r="Y44" t="n">
        <v>1315.86644931514002</v>
      </c>
      <c r="Z44" t="n">
        <v>0</v>
      </c>
      <c r="AA44" s="2" t="n">
        <v>1315.86644931514002</v>
      </c>
      <c r="AB44" t="n">
        <v>-0.0338787688395427988</v>
      </c>
      <c r="AD44" t="n">
        <v>1315.86644931514002</v>
      </c>
      <c r="AE44" t="n">
        <v>0</v>
      </c>
      <c r="AF44" t="n">
        <v>1315.86644931514002</v>
      </c>
      <c r="AG44" t="n">
        <v>-0.00116811793850501999</v>
      </c>
    </row>
    <row r="45" spans="1:33">
      <c r="A45" s="2" t="n">
        <v>1227.18145468263992</v>
      </c>
      <c r="B45" t="n">
        <v>-0.00513011319725909942</v>
      </c>
      <c r="C45" s="2" t="n">
        <v>1227.18145468263992</v>
      </c>
      <c r="D45" t="n">
        <v>-0.00683119748477429933</v>
      </c>
      <c r="E45">
        <f>10^(D45/20)</f>
        <v>0.999213838512212682</v>
      </c>
      <c r="G45" s="2" t="n">
        <v>1227.18145468263992</v>
      </c>
      <c r="H45" t="n">
        <v>-0.00714023075135847929</v>
      </c>
      <c r="I45" s="2" t="n">
        <v>1227.18145468263992</v>
      </c>
      <c r="J45" t="n">
        <v>-0.00418588131840642053</v>
      </c>
      <c r="K45">
        <f>10^(J45/20)</f>
        <v>0.999518198707297501</v>
      </c>
      <c r="L45"/>
      <c r="M45" s="6">
        <f>I45</f>
        <v>1227.18145468263992</v>
      </c>
      <c r="N45">
        <f>E45/K45</f>
        <v>0.999695493093093646</v>
      </c>
      <c r="O45">
        <f>AB45-AG45</f>
        <v>-0.0301450662593079999</v>
      </c>
      <c r="Y45" t="n">
        <v>1227.18145468263992</v>
      </c>
      <c r="Z45" t="n">
        <v>0</v>
      </c>
      <c r="AA45" s="2" t="n">
        <v>1227.18145468263992</v>
      </c>
      <c r="AB45" t="n">
        <v>-0.0317295857508384005</v>
      </c>
      <c r="AD45" t="n">
        <v>1227.18145468263992</v>
      </c>
      <c r="AE45" t="n">
        <v>0</v>
      </c>
      <c r="AF45" t="n">
        <v>1227.18145468263992</v>
      </c>
      <c r="AG45" t="n">
        <v>-0.00158451949153004978</v>
      </c>
    </row>
    <row r="46" spans="1:33">
      <c r="A46" s="2" t="n">
        <v>1144.47353187005001</v>
      </c>
      <c r="B46" t="n">
        <v>-0.00514948680135798043</v>
      </c>
      <c r="C46" s="2" t="n">
        <v>1144.47353187005001</v>
      </c>
      <c r="D46" t="n">
        <v>-0.00686606881604081032</v>
      </c>
      <c r="E46">
        <f>10^(D46/20)</f>
        <v>0.999209826966099435</v>
      </c>
      <c r="G46" s="2" t="n">
        <v>1144.47353187005001</v>
      </c>
      <c r="H46" t="n">
        <v>-0.00716234916823652057</v>
      </c>
      <c r="I46" s="2" t="n">
        <v>1144.47353187005001</v>
      </c>
      <c r="J46" t="n">
        <v>-0.00422094001364353044</v>
      </c>
      <c r="K46">
        <f>10^(J46/20)</f>
        <v>0.999514164378672909</v>
      </c>
      <c r="L46"/>
      <c r="M46" s="6">
        <f>I46</f>
        <v>1144.47353187005001</v>
      </c>
      <c r="N46">
        <f>E46/K46</f>
        <v>0.999695514657600448</v>
      </c>
      <c r="O46">
        <f>AB46-AG46</f>
        <v>-0.0282688469952740018</v>
      </c>
      <c r="Y46" t="n">
        <v>1144.47353187005001</v>
      </c>
      <c r="Z46" t="n">
        <v>0</v>
      </c>
      <c r="AA46" s="2" t="n">
        <v>1144.47353187005001</v>
      </c>
      <c r="AB46" t="n">
        <v>-0.0292743856257970982</v>
      </c>
      <c r="AD46" t="n">
        <v>1144.47353187005001</v>
      </c>
      <c r="AE46" t="n">
        <v>0</v>
      </c>
      <c r="AF46" t="n">
        <v>1144.47353187005001</v>
      </c>
      <c r="AG46" t="n">
        <v>-0.00100553863052254999</v>
      </c>
    </row>
    <row r="47" spans="1:33">
      <c r="A47" s="2" t="n">
        <v>1067.33984624126992</v>
      </c>
      <c r="B47" t="n">
        <v>-0.00516954822683839943</v>
      </c>
      <c r="C47" s="2" t="n">
        <v>1067.33984624126992</v>
      </c>
      <c r="D47" t="n">
        <v>-0.00690152722810334929</v>
      </c>
      <c r="E47">
        <f>10^(D47/20)</f>
        <v>0.999205747899597618</v>
      </c>
      <c r="G47" s="2" t="n">
        <v>1067.33984624126992</v>
      </c>
      <c r="H47" t="n">
        <v>-0.00717647168283644099</v>
      </c>
      <c r="I47" s="2" t="n">
        <v>1067.33984624126992</v>
      </c>
      <c r="J47" t="n">
        <v>-0.00422095528465967984</v>
      </c>
      <c r="K47">
        <f>10^(J47/20)</f>
        <v>0.999514162621385971</v>
      </c>
      <c r="L47"/>
      <c r="M47" s="6">
        <f>I47</f>
        <v>1067.33984624126992</v>
      </c>
      <c r="N47">
        <f>E47/K47</f>
        <v>0.999691435365978975</v>
      </c>
      <c r="O47">
        <f>AB47-AG47</f>
        <v>-0.0267298896759479998</v>
      </c>
      <c r="Y47" t="n">
        <v>1067.33984624126992</v>
      </c>
      <c r="Z47" t="n">
        <v>0</v>
      </c>
      <c r="AA47" s="2" t="n">
        <v>1067.33984624126992</v>
      </c>
      <c r="AB47" t="n">
        <v>-0.0276194052383402999</v>
      </c>
      <c r="AD47" t="n">
        <v>1067.33984624126992</v>
      </c>
      <c r="AE47" t="n">
        <v>0</v>
      </c>
      <c r="AF47" t="n">
        <v>1067.33984624126992</v>
      </c>
      <c r="AG47" t="n">
        <v>-0.000889515562391807002</v>
      </c>
    </row>
    <row r="48" spans="1:33">
      <c r="A48" s="2" t="n">
        <v>995.404712866426962</v>
      </c>
      <c r="B48" t="n">
        <v>-0.00516421398146055033</v>
      </c>
      <c r="C48" s="2" t="n">
        <v>995.404712866426962</v>
      </c>
      <c r="D48" t="n">
        <v>-0.00691745497248588048</v>
      </c>
      <c r="E48">
        <f>10^(D48/20)</f>
        <v>0.999203915608398141</v>
      </c>
      <c r="G48" s="2" t="n">
        <v>995.404712866426962</v>
      </c>
      <c r="H48" t="n">
        <v>-0.00720161917828592912</v>
      </c>
      <c r="I48" s="2" t="n">
        <v>995.404712866426962</v>
      </c>
      <c r="J48" t="n">
        <v>-0.00422233486798167057</v>
      </c>
      <c r="K48">
        <f>10^(J48/20)</f>
        <v>0.999514003868164913</v>
      </c>
      <c r="L48"/>
      <c r="M48" s="6">
        <f>I48</f>
        <v>995.404712866426962</v>
      </c>
      <c r="N48">
        <f>E48/K48</f>
        <v>0.999689760965262231</v>
      </c>
      <c r="O48">
        <f>AB48-AG48</f>
        <v>-0.0249942992123239982</v>
      </c>
      <c r="Y48" t="n">
        <v>995.404712866426962</v>
      </c>
      <c r="Z48" t="n">
        <v>0</v>
      </c>
      <c r="AA48" s="2" t="n">
        <v>995.404712866426962</v>
      </c>
      <c r="AB48" t="n">
        <v>-0.0254903541303975034</v>
      </c>
      <c r="AD48" t="n">
        <v>995.404712866426962</v>
      </c>
      <c r="AE48" t="n">
        <v>0</v>
      </c>
      <c r="AF48" t="n">
        <v>995.404712866426962</v>
      </c>
      <c r="AG48" t="n">
        <v>-0.000496054918073696083</v>
      </c>
    </row>
    <row r="49" spans="1:33">
      <c r="A49" s="2" t="n">
        <v>928.317766722560009</v>
      </c>
      <c r="B49" t="n">
        <v>-0.00517130664373913973</v>
      </c>
      <c r="C49" s="2" t="n">
        <v>928.317766722560009</v>
      </c>
      <c r="D49" t="n">
        <v>-0.00692535704165643917</v>
      </c>
      <c r="E49">
        <f>10^(D49/20)</f>
        <v>0.999203006573721986</v>
      </c>
      <c r="G49" s="2" t="n">
        <v>928.317766722560009</v>
      </c>
      <c r="H49" t="n">
        <v>-0.00722166747438048962</v>
      </c>
      <c r="I49" s="2" t="n">
        <v>928.317766722560009</v>
      </c>
      <c r="J49" t="n">
        <v>-0.00423659468952521934</v>
      </c>
      <c r="K49">
        <f>10^(J49/20)</f>
        <v>0.999512362944757271</v>
      </c>
      <c r="L49"/>
      <c r="M49" s="6">
        <f>I49</f>
        <v>928.317766722560009</v>
      </c>
      <c r="N49">
        <f>E49/K49</f>
        <v>0.999690492701737554</v>
      </c>
      <c r="O49">
        <f>AB49-AG49</f>
        <v>-0.0232221098470980003</v>
      </c>
      <c r="Y49" t="n">
        <v>928.317766722560009</v>
      </c>
      <c r="Z49" t="n">
        <v>0</v>
      </c>
      <c r="AA49" s="2" t="n">
        <v>928.317766722560009</v>
      </c>
      <c r="AB49" t="n">
        <v>-0.0238900449667767001</v>
      </c>
      <c r="AD49" t="n">
        <v>928.317766722560009</v>
      </c>
      <c r="AE49" t="n">
        <v>0</v>
      </c>
      <c r="AF49" t="n">
        <v>928.317766722560009</v>
      </c>
      <c r="AG49" t="n">
        <v>-0.00066793511967944097</v>
      </c>
    </row>
    <row r="50" spans="1:33">
      <c r="A50" s="2" t="n">
        <v>865.752256216616047</v>
      </c>
      <c r="B50" t="n">
        <v>-0.00521284281688416051</v>
      </c>
      <c r="C50" s="2" t="n">
        <v>865.752256216616047</v>
      </c>
      <c r="D50" t="n">
        <v>-0.00696685319101082978</v>
      </c>
      <c r="E50">
        <f>10^(D50/20)</f>
        <v>0.99919823297195105</v>
      </c>
      <c r="G50" s="2" t="n">
        <v>865.752256216616047</v>
      </c>
      <c r="H50" t="n">
        <v>-0.00723103118707483894</v>
      </c>
      <c r="I50" s="2" t="n">
        <v>865.752256216616047</v>
      </c>
      <c r="J50" t="n">
        <v>-0.00424456309999282055</v>
      </c>
      <c r="K50">
        <f>10^(J50/20)</f>
        <v>0.999511445995375603</v>
      </c>
      <c r="L50"/>
      <c r="M50" s="6">
        <f>I50</f>
        <v>865.752256216616047</v>
      </c>
      <c r="N50">
        <f>E50/K50</f>
        <v>0.999686633880302367</v>
      </c>
      <c r="O50">
        <f>AB50-AG50</f>
        <v>-0.0210624972268080013</v>
      </c>
      <c r="Y50" t="n">
        <v>865.752256216616047</v>
      </c>
      <c r="Z50" t="n">
        <v>0</v>
      </c>
      <c r="AA50" s="2" t="n">
        <v>865.752256216616047</v>
      </c>
      <c r="AB50" t="n">
        <v>-0.0223043636422061997</v>
      </c>
      <c r="AD50" t="n">
        <v>865.752256216616047</v>
      </c>
      <c r="AE50" t="n">
        <v>0</v>
      </c>
      <c r="AF50" t="n">
        <v>865.752256216616047</v>
      </c>
      <c r="AG50" t="n">
        <v>-0.00124186641539836007</v>
      </c>
    </row>
    <row r="51" spans="1:33">
      <c r="A51" s="2" t="n">
        <v>807.403451719314944</v>
      </c>
      <c r="B51" t="n">
        <v>-0.00520918476361772065</v>
      </c>
      <c r="C51" s="2" t="n">
        <v>807.403451719314944</v>
      </c>
      <c r="D51" t="n">
        <v>-0.00698290797184101919</v>
      </c>
      <c r="E51">
        <f>10^(D51/20)</f>
        <v>0.999196386080674692</v>
      </c>
      <c r="G51" s="2" t="n">
        <v>807.403451719314944</v>
      </c>
      <c r="H51" t="n">
        <v>-0.00725178044159424928</v>
      </c>
      <c r="I51" s="2" t="n">
        <v>807.403451719314944</v>
      </c>
      <c r="J51" t="n">
        <v>-0.00425241208915775992</v>
      </c>
      <c r="K51">
        <f>10^(J51/20)</f>
        <v>0.999510542788992851</v>
      </c>
      <c r="L51"/>
      <c r="M51" s="6">
        <f>I51</f>
        <v>807.403451719314944</v>
      </c>
      <c r="N51">
        <f>E51/K51</f>
        <v>0.999685689450116755</v>
      </c>
      <c r="O51">
        <f>AB51-AG51</f>
        <v>-0.0198263646980199972</v>
      </c>
      <c r="Y51" t="n">
        <v>807.403451719314944</v>
      </c>
      <c r="Z51" t="n">
        <v>0</v>
      </c>
      <c r="AA51" s="2" t="n">
        <v>807.403451719314944</v>
      </c>
      <c r="AB51" t="n">
        <v>-0.0206484982959409979</v>
      </c>
      <c r="AD51" t="n">
        <v>807.403451719314944</v>
      </c>
      <c r="AE51" t="n">
        <v>0</v>
      </c>
      <c r="AF51" t="n">
        <v>807.403451719314944</v>
      </c>
      <c r="AG51" t="n">
        <v>-0.000822133597921492942</v>
      </c>
    </row>
    <row r="52" spans="1:33">
      <c r="A52" s="2" t="n">
        <v>752.987161358497019</v>
      </c>
      <c r="B52" t="n">
        <v>-0.00518094324040923038</v>
      </c>
      <c r="C52" s="2" t="n">
        <v>752.987161358497019</v>
      </c>
      <c r="D52" t="n">
        <v>-0.00695718200138078924</v>
      </c>
      <c r="E52">
        <f>10^(D52/20)</f>
        <v>0.999199345516708348</v>
      </c>
      <c r="G52" s="2" t="n">
        <v>752.987161358497019</v>
      </c>
      <c r="H52" t="n">
        <v>-0.00725456182405325034</v>
      </c>
      <c r="I52" s="2" t="n">
        <v>752.987161358497019</v>
      </c>
      <c r="J52" t="n">
        <v>-0.00425254436653223067</v>
      </c>
      <c r="K52">
        <f>10^(J52/20)</f>
        <v>0.999510527567450779</v>
      </c>
      <c r="L52"/>
      <c r="M52" s="6">
        <f>I52</f>
        <v>752.987161358497019</v>
      </c>
      <c r="N52">
        <f>E52/K52</f>
        <v>0.99968866555963114</v>
      </c>
      <c r="O52">
        <f>AB52-AG52</f>
        <v>-0.0185664946605480008</v>
      </c>
      <c r="Y52" t="n">
        <v>752.987161358497019</v>
      </c>
      <c r="Z52" t="n">
        <v>0</v>
      </c>
      <c r="AA52" s="2" t="n">
        <v>752.987161358497019</v>
      </c>
      <c r="AB52" t="n">
        <v>-0.0190994417622505015</v>
      </c>
      <c r="AD52" t="n">
        <v>752.987161358497019</v>
      </c>
      <c r="AE52" t="n">
        <v>0</v>
      </c>
      <c r="AF52" t="n">
        <v>752.987161358497019</v>
      </c>
      <c r="AG52" t="n">
        <v>-0.000532947101703484893</v>
      </c>
    </row>
    <row r="53" spans="1:33">
      <c r="A53" s="2" t="n">
        <v>702.238346843029035</v>
      </c>
      <c r="B53" t="n">
        <v>-0.00521297822655051135</v>
      </c>
      <c r="C53" s="2" t="n">
        <v>702.238346843029035</v>
      </c>
      <c r="D53" t="n">
        <v>-0.00696110905773766042</v>
      </c>
      <c r="E53">
        <f>10^(D53/20)</f>
        <v>0.999198893759729856</v>
      </c>
      <c r="G53" s="2" t="n">
        <v>702.238346843029035</v>
      </c>
      <c r="H53" t="n">
        <v>-0.00727354245425569879</v>
      </c>
      <c r="I53" s="2" t="n">
        <v>702.238346843029035</v>
      </c>
      <c r="J53" t="n">
        <v>-0.00427127182209137057</v>
      </c>
      <c r="K53">
        <f>10^(J53/20)</f>
        <v>0.999508372547114554</v>
      </c>
      <c r="L53"/>
      <c r="M53" s="6">
        <f>I53</f>
        <v>702.238346843029035</v>
      </c>
      <c r="N53">
        <f>E53/K53</f>
        <v>0.99969036898951007</v>
      </c>
      <c r="O53">
        <f>AB53-AG53</f>
        <v>-0.0177573164196470001</v>
      </c>
      <c r="Y53" t="n">
        <v>702.238346843029035</v>
      </c>
      <c r="Z53" t="n">
        <v>0</v>
      </c>
      <c r="AA53" s="2" t="n">
        <v>702.238346843029035</v>
      </c>
      <c r="AB53" t="n">
        <v>-0.0184731896974880989</v>
      </c>
      <c r="AD53" t="n">
        <v>702.238346843029035</v>
      </c>
      <c r="AE53" t="n">
        <v>0</v>
      </c>
      <c r="AF53" t="n">
        <v>702.238346843029035</v>
      </c>
      <c r="AG53" t="n">
        <v>-0.000715873277840727962</v>
      </c>
    </row>
    <row r="54" spans="1:33">
      <c r="A54" s="2" t="n">
        <v>654.909832575547966</v>
      </c>
      <c r="B54" t="n">
        <v>-0.00521959210207644997</v>
      </c>
      <c r="C54" s="2" t="n">
        <v>654.909832575547966</v>
      </c>
      <c r="D54" t="n">
        <v>-0.00698160000028875949</v>
      </c>
      <c r="E54">
        <f>10^(D54/20)</f>
        <v>0.999196536545463943</v>
      </c>
      <c r="G54" s="2" t="n">
        <v>654.909832575547966</v>
      </c>
      <c r="H54" t="n">
        <v>-0.00729284719654965841</v>
      </c>
      <c r="I54" s="2" t="n">
        <v>654.909832575547966</v>
      </c>
      <c r="J54" t="n">
        <v>-0.00428193195499217971</v>
      </c>
      <c r="K54">
        <f>10^(J54/20)</f>
        <v>0.999507145858083135</v>
      </c>
      <c r="L54"/>
      <c r="M54" s="6">
        <f>I54</f>
        <v>654.909832575547966</v>
      </c>
      <c r="N54">
        <f>E54/K54</f>
        <v>0.999689237526808938</v>
      </c>
      <c r="O54">
        <f>AB54-AG54</f>
        <v>-0.0162325639053619986</v>
      </c>
      <c r="Y54" t="n">
        <v>654.909832575547966</v>
      </c>
      <c r="Z54" t="n">
        <v>0</v>
      </c>
      <c r="AA54" s="2" t="n">
        <v>654.909832575547966</v>
      </c>
      <c r="AB54" t="n">
        <v>-0.0165887090065553018</v>
      </c>
      <c r="AD54" t="n">
        <v>654.909832575547966</v>
      </c>
      <c r="AE54" t="n">
        <v>0</v>
      </c>
      <c r="AF54" t="n">
        <v>654.909832575547966</v>
      </c>
      <c r="AG54" t="n">
        <v>-0.000356145101193305935</v>
      </c>
    </row>
    <row r="55" spans="1:33">
      <c r="A55" s="2" t="n">
        <v>610.771101766686002</v>
      </c>
      <c r="B55" t="n">
        <v>-0.00521689767236542945</v>
      </c>
      <c r="C55" s="2" t="n">
        <v>610.771101766686002</v>
      </c>
      <c r="D55" t="n">
        <v>-0.00699151139272382061</v>
      </c>
      <c r="E55">
        <f>10^(D55/20)</f>
        <v>0.999195396371715461</v>
      </c>
      <c r="G55" s="2" t="n">
        <v>610.771101766686002</v>
      </c>
      <c r="H55" t="n">
        <v>-0.00727246999784239012</v>
      </c>
      <c r="I55" s="2" t="n">
        <v>610.771101766686002</v>
      </c>
      <c r="J55" t="n">
        <v>-0.00427368583542615976</v>
      </c>
      <c r="K55">
        <f>10^(J55/20)</f>
        <v>0.999508094760233767</v>
      </c>
      <c r="L55"/>
      <c r="M55" s="6">
        <f>I55</f>
        <v>610.771101766686002</v>
      </c>
      <c r="N55">
        <f>E55/K55</f>
        <v>0.999687147717804159</v>
      </c>
      <c r="O55">
        <f>AB55-AG55</f>
        <v>-0.0154538093330530035</v>
      </c>
      <c r="Y55" t="n">
        <v>610.771101766686002</v>
      </c>
      <c r="Z55" t="n">
        <v>0</v>
      </c>
      <c r="AA55" s="2" t="n">
        <v>610.771101766686002</v>
      </c>
      <c r="AB55" t="n">
        <v>-0.0158012308763773017</v>
      </c>
      <c r="AD55" t="n">
        <v>610.771101766686002</v>
      </c>
      <c r="AE55" t="n">
        <v>0</v>
      </c>
      <c r="AF55" t="n">
        <v>610.771101766686002</v>
      </c>
      <c r="AG55" t="n">
        <v>-0.00034742154332434394</v>
      </c>
    </row>
    <row r="56" spans="1:33">
      <c r="A56" s="2" t="n">
        <v>569.607173687163026</v>
      </c>
      <c r="B56" t="n">
        <v>-0.00523066890694826014</v>
      </c>
      <c r="C56" s="2" t="n">
        <v>569.607173687163026</v>
      </c>
      <c r="D56" t="n">
        <v>-0.00699505017905105042</v>
      </c>
      <c r="E56">
        <f>10^(D56/20)</f>
        <v>0.999194989281774504</v>
      </c>
      <c r="G56" s="2" t="n">
        <v>569.607173687163026</v>
      </c>
      <c r="H56" t="n">
        <v>-0.00728462669705347032</v>
      </c>
      <c r="I56" s="2" t="n">
        <v>569.607173687163026</v>
      </c>
      <c r="J56" t="n">
        <v>-0.00429388937101068979</v>
      </c>
      <c r="K56">
        <f>10^(J56/20)</f>
        <v>0.99950576988912303</v>
      </c>
      <c r="L56"/>
      <c r="M56" s="6">
        <f>I56</f>
        <v>569.607173687163026</v>
      </c>
      <c r="N56">
        <f>E56/K56</f>
        <v>0.999689065719568148</v>
      </c>
      <c r="O56">
        <f>AB56-AG56</f>
        <v>-0.0145236845640400025</v>
      </c>
      <c r="Y56" t="n">
        <v>569.607173687163026</v>
      </c>
      <c r="Z56" t="n">
        <v>0</v>
      </c>
      <c r="AA56" s="2" t="n">
        <v>569.607173687163026</v>
      </c>
      <c r="AB56" t="n">
        <v>-0.0150455948347029995</v>
      </c>
      <c r="AD56" t="n">
        <v>569.607173687163026</v>
      </c>
      <c r="AE56" t="n">
        <v>0</v>
      </c>
      <c r="AF56" t="n">
        <v>569.607173687163026</v>
      </c>
      <c r="AG56" t="n">
        <v>-0.000521910270663283971</v>
      </c>
    </row>
    <row r="57" spans="1:33">
      <c r="A57" s="2" t="n">
        <v>531.217556589338983</v>
      </c>
      <c r="B57" t="n">
        <v>-0.00524377004946027903</v>
      </c>
      <c r="C57" s="2" t="n">
        <v>531.217556589338983</v>
      </c>
      <c r="D57" t="n">
        <v>-0.0069939875441520698</v>
      </c>
      <c r="E57">
        <f>10^(D57/20)</f>
        <v>0.999195111523660628</v>
      </c>
      <c r="G57" s="2" t="n">
        <v>531.217556589338983</v>
      </c>
      <c r="H57" t="n">
        <v>-0.00730920315910599072</v>
      </c>
      <c r="I57" s="2" t="n">
        <v>531.217556589338983</v>
      </c>
      <c r="J57" t="n">
        <v>-0.0042892390624022001</v>
      </c>
      <c r="K57">
        <f>10^(J57/20)</f>
        <v>0.999506305011227525</v>
      </c>
      <c r="L57"/>
      <c r="M57" s="6">
        <f>I57</f>
        <v>531.217556589338983</v>
      </c>
      <c r="N57">
        <f>E57/K57</f>
        <v>0.999688652801881616</v>
      </c>
      <c r="O57">
        <f>AB57-AG57</f>
        <v>-0.0130381847231430004</v>
      </c>
      <c r="Y57" t="n">
        <v>531.217556589338983</v>
      </c>
      <c r="Z57" t="n">
        <v>0</v>
      </c>
      <c r="AA57" s="2" t="n">
        <v>531.217556589338983</v>
      </c>
      <c r="AB57" t="n">
        <v>-0.0137504762171829986</v>
      </c>
      <c r="AD57" t="n">
        <v>531.217556589338983</v>
      </c>
      <c r="AE57" t="n">
        <v>0</v>
      </c>
      <c r="AF57" t="n">
        <v>531.217556589338983</v>
      </c>
      <c r="AG57" t="n">
        <v>-0.000712291494039618023</v>
      </c>
    </row>
    <row r="58" spans="1:33">
      <c r="A58" s="2" t="n">
        <v>495.415271198343987</v>
      </c>
      <c r="B58" t="n">
        <v>-0.00524524706958739984</v>
      </c>
      <c r="C58" s="2" t="n">
        <v>495.415271198343987</v>
      </c>
      <c r="D58" t="n">
        <v>-0.00699683879214284943</v>
      </c>
      <c r="E58">
        <f>10^(D58/20)</f>
        <v>0.999194783525874186</v>
      </c>
      <c r="G58" s="2" t="n">
        <v>495.415271198343987</v>
      </c>
      <c r="H58" t="n">
        <v>-0.00727521256058247978</v>
      </c>
      <c r="I58" s="2" t="n">
        <v>495.415271198343987</v>
      </c>
      <c r="J58" t="n">
        <v>-0.0042753106211069003</v>
      </c>
      <c r="K58">
        <f>10^(J58/20)</f>
        <v>0.999507907791902994</v>
      </c>
      <c r="L58"/>
      <c r="M58" s="6">
        <f>I58</f>
        <v>495.415271198343987</v>
      </c>
      <c r="N58">
        <f>E58/K58</f>
        <v>0.999686721572097525</v>
      </c>
      <c r="O58">
        <f>AB58-AG58</f>
        <v>-0.0122410807584289993</v>
      </c>
      <c r="Y58" t="n">
        <v>495.415271198343987</v>
      </c>
      <c r="Z58" t="n">
        <v>0</v>
      </c>
      <c r="AA58" s="2" t="n">
        <v>495.415271198343987</v>
      </c>
      <c r="AB58" t="n">
        <v>-0.0129938015846277999</v>
      </c>
      <c r="AD58" t="n">
        <v>495.415271198343987</v>
      </c>
      <c r="AE58" t="n">
        <v>0</v>
      </c>
      <c r="AF58" t="n">
        <v>495.415271198343987</v>
      </c>
      <c r="AG58" t="n">
        <v>-0.00075272082619903804</v>
      </c>
    </row>
    <row r="59" spans="1:33">
      <c r="A59" s="2" t="n">
        <v>462.025940016634024</v>
      </c>
      <c r="B59" t="n">
        <v>-0.00524386009656729968</v>
      </c>
      <c r="C59" s="2" t="n">
        <v>462.025940016634024</v>
      </c>
      <c r="D59" t="n">
        <v>-0.00702223730487717912</v>
      </c>
      <c r="E59">
        <f>10^(D59/20)</f>
        <v>0.999191861772848</v>
      </c>
      <c r="G59" s="2" t="n">
        <v>462.025940016634024</v>
      </c>
      <c r="H59" t="n">
        <v>-0.0073170538410403605</v>
      </c>
      <c r="I59" s="2" t="n">
        <v>462.025940016634024</v>
      </c>
      <c r="J59" t="n">
        <v>-0.00431519598879448996</v>
      </c>
      <c r="K59">
        <f>10^(J59/20)</f>
        <v>0.999503318089460002</v>
      </c>
      <c r="L59"/>
      <c r="M59" s="6">
        <f>I59</f>
        <v>462.025940016634024</v>
      </c>
      <c r="N59">
        <f>E59/K59</f>
        <v>0.999688388911797432</v>
      </c>
      <c r="O59">
        <f>AB59-AG59</f>
        <v>-0.0118146554583519992</v>
      </c>
      <c r="Y59" t="n">
        <v>462.025940016634024</v>
      </c>
      <c r="Z59" t="n">
        <v>0</v>
      </c>
      <c r="AA59" s="2" t="n">
        <v>462.025940016634024</v>
      </c>
      <c r="AB59" t="n">
        <v>-0.0120034794527442013</v>
      </c>
      <c r="AD59" t="n">
        <v>462.025940016634024</v>
      </c>
      <c r="AE59" t="n">
        <v>0</v>
      </c>
      <c r="AF59" t="n">
        <v>462.025940016634024</v>
      </c>
      <c r="AG59" t="n">
        <v>-0.000188823994392351011</v>
      </c>
    </row>
    <row r="60" spans="1:33">
      <c r="A60" s="2" t="n">
        <v>430.886938006377989</v>
      </c>
      <c r="B60" t="n">
        <v>-0.0052288480351723603</v>
      </c>
      <c r="C60" s="2" t="n">
        <v>430.886938006377989</v>
      </c>
      <c r="D60" t="n">
        <v>-0.00697458861162485011</v>
      </c>
      <c r="E60">
        <f>10^(D60/20)</f>
        <v>0.999197343113171499</v>
      </c>
      <c r="G60" s="2" t="n">
        <v>430.886938006377989</v>
      </c>
      <c r="H60" t="n">
        <v>-0.0072591392755735793</v>
      </c>
      <c r="I60" s="2" t="n">
        <v>430.886938006377989</v>
      </c>
      <c r="J60" t="n">
        <v>-0.00427970411200357947</v>
      </c>
      <c r="K60">
        <f>10^(J60/20)</f>
        <v>0.999507402221608032</v>
      </c>
      <c r="L60"/>
      <c r="M60" s="6">
        <f>I60</f>
        <v>430.886938006377989</v>
      </c>
      <c r="N60">
        <f>E60/K60</f>
        <v>0.99968978808186133</v>
      </c>
      <c r="O60">
        <f>AB60-AG60</f>
        <v>-0.0104465183152350005</v>
      </c>
      <c r="Y60" t="n">
        <v>430.886938006377989</v>
      </c>
      <c r="Z60" t="n">
        <v>0</v>
      </c>
      <c r="AA60" s="2" t="n">
        <v>430.886938006377989</v>
      </c>
      <c r="AB60" t="n">
        <v>-0.0109226003003186989</v>
      </c>
      <c r="AD60" t="n">
        <v>430.886938006377989</v>
      </c>
      <c r="AE60" t="n">
        <v>0</v>
      </c>
      <c r="AF60" t="n">
        <v>430.886938006377989</v>
      </c>
      <c r="AG60" t="n">
        <v>-0.000476081985084420012</v>
      </c>
    </row>
    <row r="61" spans="1:33">
      <c r="A61" s="2" t="n">
        <v>401.846600513011026</v>
      </c>
      <c r="B61" t="n">
        <v>-0.00522494318475468056</v>
      </c>
      <c r="C61" s="2" t="n">
        <v>401.846600513011026</v>
      </c>
      <c r="D61" t="n">
        <v>-0.00699446420190545926</v>
      </c>
      <c r="E61">
        <f>10^(D61/20)</f>
        <v>0.999195056690581929</v>
      </c>
      <c r="G61" s="2" t="n">
        <v>401.846600513011026</v>
      </c>
      <c r="H61" t="n">
        <v>-0.00727388594065203797</v>
      </c>
      <c r="I61" s="2" t="n">
        <v>401.846600513011026</v>
      </c>
      <c r="J61" t="n">
        <v>-0.00427342899638107987</v>
      </c>
      <c r="K61">
        <f>10^(J61/20)</f>
        <v>0.999508124315375923</v>
      </c>
      <c r="L61"/>
      <c r="M61" s="6">
        <f>I61</f>
        <v>401.846600513011026</v>
      </c>
      <c r="N61">
        <f>E61/K61</f>
        <v>0.999686778309072466</v>
      </c>
      <c r="O61">
        <f>AB61-AG61</f>
        <v>-0.00989565333276200043</v>
      </c>
      <c r="Y61" t="n">
        <v>401.846600513011026</v>
      </c>
      <c r="Z61" t="n">
        <v>0</v>
      </c>
      <c r="AA61" s="2" t="n">
        <v>401.846600513011026</v>
      </c>
      <c r="AB61" t="n">
        <v>-0.010005008769326198</v>
      </c>
      <c r="AD61" t="n">
        <v>401.846600513011026</v>
      </c>
      <c r="AE61" t="n">
        <v>0</v>
      </c>
      <c r="AF61" t="n">
        <v>401.846600513011026</v>
      </c>
      <c r="AG61" t="n">
        <v>-0.000109355436563874008</v>
      </c>
    </row>
    <row r="62" spans="1:33">
      <c r="A62" s="2" t="n">
        <v>374.763484572078028</v>
      </c>
      <c r="B62" t="n">
        <v>-0.00528512024658448887</v>
      </c>
      <c r="C62" s="2" t="n">
        <v>374.763484572078028</v>
      </c>
      <c r="D62" t="n">
        <v>-0.00703518263420486001</v>
      </c>
      <c r="E62">
        <f>10^(D62/20)</f>
        <v>0.999190372592279807</v>
      </c>
      <c r="G62" s="2" t="n">
        <v>374.763484572078028</v>
      </c>
      <c r="H62" t="n">
        <v>-0.0072847410141483202</v>
      </c>
      <c r="I62" s="2" t="n">
        <v>374.763484572078028</v>
      </c>
      <c r="J62" t="n">
        <v>-0.00427971004904451036</v>
      </c>
      <c r="K62">
        <f>10^(J62/20)</f>
        <v>0.999507401538417639</v>
      </c>
      <c r="L62"/>
      <c r="M62" s="6">
        <f>I62</f>
        <v>374.763484572078028</v>
      </c>
      <c r="N62">
        <f>E62/K62</f>
        <v>0.999682814808924824</v>
      </c>
      <c r="O62">
        <f>AB62-AG62</f>
        <v>-0.00946806345081099998</v>
      </c>
      <c r="Y62" t="n">
        <v>374.763484572078028</v>
      </c>
      <c r="Z62" t="n">
        <v>0</v>
      </c>
      <c r="AA62" s="2" t="n">
        <v>374.763484572078028</v>
      </c>
      <c r="AB62" t="n">
        <v>-0.00962508697256225965</v>
      </c>
      <c r="AD62" t="n">
        <v>374.763484572078028</v>
      </c>
      <c r="AE62" t="n">
        <v>0</v>
      </c>
      <c r="AF62" t="n">
        <v>374.763484572078028</v>
      </c>
      <c r="AG62" t="n">
        <v>-0.000157023521751397999</v>
      </c>
    </row>
    <row r="63" spans="1:33">
      <c r="A63" s="2" t="n">
        <v>349.505680001537996</v>
      </c>
      <c r="B63" t="n">
        <v>-0.00523896708483604989</v>
      </c>
      <c r="C63" s="2" t="n">
        <v>349.505680001537996</v>
      </c>
      <c r="D63" t="n">
        <v>-0.00698841503346175053</v>
      </c>
      <c r="E63">
        <f>10^(D63/20)</f>
        <v>0.999195752566486206</v>
      </c>
      <c r="G63" s="2" t="n">
        <v>349.505680001537996</v>
      </c>
      <c r="H63" t="n">
        <v>-0.00728367408189170007</v>
      </c>
      <c r="I63" s="2" t="n">
        <v>349.505680001537996</v>
      </c>
      <c r="J63" t="n">
        <v>-0.00428767724286384055</v>
      </c>
      <c r="K63">
        <f>10^(J63/20)</f>
        <v>0.999506484733591449</v>
      </c>
      <c r="L63"/>
      <c r="M63" s="6">
        <f>I63</f>
        <v>349.505680001537996</v>
      </c>
      <c r="N63">
        <f>E63/K63</f>
        <v>0.999689114406108104</v>
      </c>
      <c r="O63">
        <f>AB63-AG63</f>
        <v>-0.00852295614436100024</v>
      </c>
      <c r="Y63" t="n">
        <v>349.505680001537996</v>
      </c>
      <c r="Z63" t="n">
        <v>0</v>
      </c>
      <c r="AA63" s="2" t="n">
        <v>349.505680001537996</v>
      </c>
      <c r="AB63" t="n">
        <v>-0.00900619366785804054</v>
      </c>
      <c r="AD63" t="n">
        <v>349.505680001537996</v>
      </c>
      <c r="AE63" t="n">
        <v>0</v>
      </c>
      <c r="AF63" t="n">
        <v>349.505680001537996</v>
      </c>
      <c r="AG63" t="n">
        <v>-0.000483237523496882115</v>
      </c>
    </row>
    <row r="64" spans="1:33">
      <c r="A64" s="2" t="n">
        <v>325.950166924129974</v>
      </c>
      <c r="B64" t="n">
        <v>-0.00524801812490455966</v>
      </c>
      <c r="C64" s="2" t="n">
        <v>325.950166924129974</v>
      </c>
      <c r="D64" t="n">
        <v>-0.00701869014124831914</v>
      </c>
      <c r="E64">
        <f>10^(D64/20)</f>
        <v>0.999192269825207902</v>
      </c>
      <c r="G64" s="2" t="n">
        <v>325.950166924129974</v>
      </c>
      <c r="H64" t="n">
        <v>-0.00732858673213502954</v>
      </c>
      <c r="I64" s="2" t="n">
        <v>325.950166924129974</v>
      </c>
      <c r="J64" t="n">
        <v>-0.00432827898126891064</v>
      </c>
      <c r="K64">
        <f>10^(J64/20)</f>
        <v>0.999501812603543094</v>
      </c>
      <c r="L64"/>
      <c r="M64" s="6">
        <f>I64</f>
        <v>325.950166924129974</v>
      </c>
      <c r="N64">
        <f>E64/K64</f>
        <v>0.999690302934490305</v>
      </c>
      <c r="O64">
        <f>AB64-AG64</f>
        <v>-0.00836218129955999956</v>
      </c>
      <c r="Y64" t="n">
        <v>325.950166924129974</v>
      </c>
      <c r="Z64" t="n">
        <v>0</v>
      </c>
      <c r="AA64" s="2" t="n">
        <v>325.950166924129974</v>
      </c>
      <c r="AB64" t="n">
        <v>-0.0084481164986982602</v>
      </c>
      <c r="AD64" t="n">
        <v>325.950166924129974</v>
      </c>
      <c r="AE64" t="n">
        <v>0</v>
      </c>
      <c r="AF64" t="n">
        <v>325.950166924129974</v>
      </c>
      <c r="AG64" t="n">
        <v>-0.0000859351991380208169</v>
      </c>
    </row>
    <row r="65" spans="1:33">
      <c r="A65" s="2" t="n">
        <v>303.982216590587996</v>
      </c>
      <c r="B65" t="n">
        <v>-0.005245411524714509</v>
      </c>
      <c r="C65" s="2" t="n">
        <v>303.982216590587996</v>
      </c>
      <c r="D65" t="n">
        <v>-0.0069958399105292397</v>
      </c>
      <c r="E65">
        <f>10^(D65/20)</f>
        <v>0.999194898433776757</v>
      </c>
      <c r="G65" s="2" t="n">
        <v>303.982216590587996</v>
      </c>
      <c r="H65" t="n">
        <v>-0.00728658766759082077</v>
      </c>
      <c r="I65" s="2" t="n">
        <v>303.982216590587996</v>
      </c>
      <c r="J65" t="n">
        <v>-0.00429997078181126025</v>
      </c>
      <c r="K65">
        <f>10^(J65/20)</f>
        <v>0.999505070087109893</v>
      </c>
      <c r="L65"/>
      <c r="M65" s="6">
        <f>I65</f>
        <v>303.982216590587996</v>
      </c>
      <c r="N65">
        <f>E65/K65</f>
        <v>0.99968967475742172</v>
      </c>
      <c r="O65">
        <f>AB65-AG65</f>
        <v>-0.00744410583962400008</v>
      </c>
      <c r="Y65" t="n">
        <v>303.982216590587996</v>
      </c>
      <c r="Z65" t="n">
        <v>0</v>
      </c>
      <c r="AA65" s="2" t="n">
        <v>303.982216590587996</v>
      </c>
      <c r="AB65" t="n">
        <v>-0.00781559453116642011</v>
      </c>
      <c r="AD65" t="n">
        <v>303.982216590587996</v>
      </c>
      <c r="AE65" t="n">
        <v>0</v>
      </c>
      <c r="AF65" t="n">
        <v>303.982216590587996</v>
      </c>
      <c r="AG65" t="n">
        <v>-0.000371488691541798977</v>
      </c>
    </row>
    <row r="66" spans="1:33">
      <c r="A66" s="2" t="n">
        <v>283.494832585362019</v>
      </c>
      <c r="B66" t="n">
        <v>-0.00525706049326366021</v>
      </c>
      <c r="C66" s="2" t="n">
        <v>283.494832585362019</v>
      </c>
      <c r="D66" t="n">
        <v>-0.00699326868591854023</v>
      </c>
      <c r="E66">
        <f>10^(D66/20)</f>
        <v>0.999195194218663474</v>
      </c>
      <c r="G66" s="2" t="n">
        <v>283.494832585362019</v>
      </c>
      <c r="H66" t="n">
        <v>-0.00730588048579105998</v>
      </c>
      <c r="I66" s="2" t="n">
        <v>283.494832585362019</v>
      </c>
      <c r="J66" t="n">
        <v>-0.00431427322728020979</v>
      </c>
      <c r="K66">
        <f>10^(J66/20)</f>
        <v>0.999503424273545704</v>
      </c>
      <c r="L66"/>
      <c r="M66" s="6">
        <f>I66</f>
        <v>283.494832585362019</v>
      </c>
      <c r="N66">
        <f>E66/K66</f>
        <v>0.999691616809511174</v>
      </c>
      <c r="O66">
        <f>AB66-AG66</f>
        <v>-0.00700497747374100044</v>
      </c>
      <c r="Y66" t="n">
        <v>283.494832585362019</v>
      </c>
      <c r="Z66" t="n">
        <v>0</v>
      </c>
      <c r="AA66" s="2" t="n">
        <v>283.494832585362019</v>
      </c>
      <c r="AB66" t="n">
        <v>-0.00740636299877906001</v>
      </c>
      <c r="AD66" t="n">
        <v>283.494832585362019</v>
      </c>
      <c r="AE66" t="n">
        <v>0</v>
      </c>
      <c r="AF66" t="n">
        <v>283.494832585362019</v>
      </c>
      <c r="AG66" t="n">
        <v>-0.00040138552503776701</v>
      </c>
    </row>
    <row r="67" spans="1:33">
      <c r="A67" s="2" t="n">
        <v>264.388229693206995</v>
      </c>
      <c r="B67" t="n">
        <v>-0.00526000212238144016</v>
      </c>
      <c r="C67" s="2" t="n">
        <v>264.388229693206995</v>
      </c>
      <c r="D67" t="n">
        <v>-0.00700645166788092943</v>
      </c>
      <c r="E67">
        <f>10^(D67/20)</f>
        <v>0.999193677694418803</v>
      </c>
      <c r="G67" s="2" t="n">
        <v>264.388229693206995</v>
      </c>
      <c r="H67" t="n">
        <v>-0.00731477405152112858</v>
      </c>
      <c r="I67" s="2" t="n">
        <v>264.388229693206995</v>
      </c>
      <c r="J67" t="n">
        <v>-0.0043023988357822498</v>
      </c>
      <c r="K67">
        <f>10^(J67/20)</f>
        <v>0.999504790685458921</v>
      </c>
      <c r="L67"/>
      <c r="M67" s="6">
        <f>I67</f>
        <v>264.388229693206995</v>
      </c>
      <c r="N67">
        <f>E67/K67</f>
        <v>0.999688732866576224</v>
      </c>
      <c r="O67">
        <f>AB67-AG67</f>
        <v>-0.00682755524508149492</v>
      </c>
      <c r="Y67" t="n">
        <v>264.388229693206995</v>
      </c>
      <c r="Z67" t="n">
        <v>0</v>
      </c>
      <c r="AA67" s="2" t="n">
        <v>264.388229693206995</v>
      </c>
      <c r="AB67" t="n">
        <v>-0.0068346271293648897</v>
      </c>
      <c r="AD67" t="n">
        <v>264.388229693206995</v>
      </c>
      <c r="AE67" t="n">
        <v>0</v>
      </c>
      <c r="AF67" t="n">
        <v>264.388229693206995</v>
      </c>
      <c r="AG67" t="n">
        <v>-7.071884283504920422E-06</v>
      </c>
    </row>
    <row r="68" spans="1:33">
      <c r="A68" s="2" t="n">
        <v>246.569347888414001</v>
      </c>
      <c r="B68" t="n">
        <v>-0.00527225765919459022</v>
      </c>
      <c r="C68" s="2" t="n">
        <v>246.569347888414001</v>
      </c>
      <c r="D68" t="n">
        <v>-0.00702862744855268851</v>
      </c>
      <c r="E68">
        <f>10^(D68/20)</f>
        <v>0.999191126675180463</v>
      </c>
      <c r="G68" s="2" t="n">
        <v>246.569347888414001</v>
      </c>
      <c r="H68" t="n">
        <v>-0.00730701869987461006</v>
      </c>
      <c r="I68" s="2" t="n">
        <v>246.569347888414001</v>
      </c>
      <c r="J68" t="n">
        <v>-0.00429776910449816008</v>
      </c>
      <c r="K68">
        <f>10^(J68/20)</f>
        <v>0.999505323439157145</v>
      </c>
      <c r="L68"/>
      <c r="M68" s="6">
        <f>I68</f>
        <v>246.569347888414001</v>
      </c>
      <c r="N68">
        <f>E68/K68</f>
        <v>0.999685647733325844</v>
      </c>
      <c r="O68">
        <f>AB68-AG68</f>
        <v>-0.00642576490270699985</v>
      </c>
      <c r="Y68" t="n">
        <v>246.569347888414001</v>
      </c>
      <c r="Z68" t="n">
        <v>0</v>
      </c>
      <c r="AA68" s="2" t="n">
        <v>246.569347888414001</v>
      </c>
      <c r="AB68" t="n">
        <v>-0.00631658393308497956</v>
      </c>
      <c r="AD68" t="n">
        <v>246.569347888414001</v>
      </c>
      <c r="AE68" t="n">
        <v>0</v>
      </c>
      <c r="AF68" t="n">
        <v>246.569347888414001</v>
      </c>
      <c r="AG68" t="n">
        <v>0.000109180969622189018</v>
      </c>
    </row>
    <row r="69" spans="1:33">
      <c r="A69" s="2" t="n">
        <v>229.951399079547997</v>
      </c>
      <c r="B69" t="n">
        <v>-0.00526528369076786085</v>
      </c>
      <c r="C69" s="2" t="n">
        <v>229.951399079547997</v>
      </c>
      <c r="D69" t="n">
        <v>-0.00701705978709389111</v>
      </c>
      <c r="E69">
        <f>10^(D69/20)</f>
        <v>0.999192457375070298</v>
      </c>
      <c r="G69" s="2" t="n">
        <v>229.951399079547997</v>
      </c>
      <c r="H69" t="n">
        <v>-0.0073227931897377001</v>
      </c>
      <c r="I69" s="2" t="n">
        <v>229.951399079547997</v>
      </c>
      <c r="J69" t="n">
        <v>-0.00432022834048114035</v>
      </c>
      <c r="K69">
        <f>10^(J69/20)</f>
        <v>0.999502739006492824</v>
      </c>
      <c r="L69"/>
      <c r="M69" s="6">
        <f>I69</f>
        <v>229.951399079547997</v>
      </c>
      <c r="N69">
        <f>E69/K69</f>
        <v>0.999689564000863662</v>
      </c>
      <c r="O69">
        <f>AB69-AG69</f>
        <v>-0.00591543420961499944</v>
      </c>
      <c r="Y69" t="n">
        <v>229.951399079547997</v>
      </c>
      <c r="Z69" t="n">
        <v>0</v>
      </c>
      <c r="AA69" s="2" t="n">
        <v>229.951399079547997</v>
      </c>
      <c r="AB69" t="n">
        <v>-0.00572012840592606064</v>
      </c>
      <c r="AD69" t="n">
        <v>229.951399079547997</v>
      </c>
      <c r="AE69" t="n">
        <v>0</v>
      </c>
      <c r="AF69" t="n">
        <v>229.951399079547997</v>
      </c>
      <c r="AG69" t="n">
        <v>0.000195305803689331992</v>
      </c>
    </row>
    <row r="70" spans="1:33">
      <c r="A70" s="2" t="n">
        <v>214.453444402065003</v>
      </c>
      <c r="B70" t="n">
        <v>-0.0052542570634811705</v>
      </c>
      <c r="C70" s="2" t="n">
        <v>214.453444402065003</v>
      </c>
      <c r="D70" t="n">
        <v>-0.00700692771555214033</v>
      </c>
      <c r="E70">
        <f>10^(D70/20)</f>
        <v>0.999193622931597858</v>
      </c>
      <c r="G70" s="2" t="n">
        <v>214.453444402065003</v>
      </c>
      <c r="H70" t="n">
        <v>-0.00731403906223170974</v>
      </c>
      <c r="I70" s="2" t="n">
        <v>214.453444402065003</v>
      </c>
      <c r="J70" t="n">
        <v>-0.00433635664978910995</v>
      </c>
      <c r="K70">
        <f>10^(J70/20)</f>
        <v>0.99950088309132159</v>
      </c>
      <c r="L70"/>
      <c r="M70" s="6">
        <f>I70</f>
        <v>214.453444402065003</v>
      </c>
      <c r="N70">
        <f>E70/K70</f>
        <v>0.999692586404952799</v>
      </c>
      <c r="O70">
        <f>AB70-AG70</f>
        <v>-0.00545147787164200093</v>
      </c>
      <c r="Y70" t="n">
        <v>214.453444402065003</v>
      </c>
      <c r="Z70" t="n">
        <v>0</v>
      </c>
      <c r="AA70" s="2" t="n">
        <v>214.453444402065003</v>
      </c>
      <c r="AB70" t="n">
        <v>-0.00541649348775762984</v>
      </c>
      <c r="AD70" t="n">
        <v>214.453444402065003</v>
      </c>
      <c r="AE70" t="n">
        <v>0</v>
      </c>
      <c r="AF70" t="n">
        <v>214.453444402065003</v>
      </c>
      <c r="AG70" t="n">
        <v>0.0000349843838840841981</v>
      </c>
    </row>
    <row r="71" spans="1:33">
      <c r="A71" s="2" t="n">
        <v>200.000000000000995</v>
      </c>
      <c r="B71" t="n">
        <v>-0.00529819449397911058</v>
      </c>
      <c r="C71" s="2" t="n">
        <v>200.000000000000995</v>
      </c>
      <c r="D71" t="n">
        <v>-0.00707661122426919054</v>
      </c>
      <c r="E71">
        <f>10^(D71/20)</f>
        <v>0.999185606822584127</v>
      </c>
      <c r="G71" s="2" t="n">
        <v>200.000000000000995</v>
      </c>
      <c r="H71" t="n">
        <v>-0.00732074197214356026</v>
      </c>
      <c r="I71" s="2" t="n">
        <v>200.000000000000995</v>
      </c>
      <c r="J71" t="n">
        <v>-0.00433208971690153888</v>
      </c>
      <c r="K71">
        <f>10^(J71/20)</f>
        <v>0.999501374095053841</v>
      </c>
      <c r="L71"/>
      <c r="M71" s="6">
        <f>I71</f>
        <v>200.000000000000995</v>
      </c>
      <c r="N71">
        <f>E71/K71</f>
        <v>0.999684075199240318</v>
      </c>
      <c r="O71">
        <f>AB71-AG71</f>
        <v>-0.00460827612016599986</v>
      </c>
      <c r="Y71" t="n">
        <v>200.000000000000995</v>
      </c>
      <c r="Z71" t="n">
        <v>0</v>
      </c>
      <c r="AA71" s="2" t="n">
        <v>200.000000000000995</v>
      </c>
      <c r="AB71" t="n">
        <v>-0.00477914159193915022</v>
      </c>
      <c r="AD71" t="n">
        <v>200.000000000000995</v>
      </c>
      <c r="AE71" t="n">
        <v>0</v>
      </c>
      <c r="AF71" t="n">
        <v>200.000000000000995</v>
      </c>
      <c r="AG71" t="n">
        <v>-0.000170865471773141024</v>
      </c>
    </row>
    <row r="72" spans="1:33">
      <c r="A72" s="2" t="n">
        <v>186.520669376644008</v>
      </c>
      <c r="B72" t="n">
        <v>-0.00531195390352911101</v>
      </c>
      <c r="C72" s="2" t="n">
        <v>186.520669376644008</v>
      </c>
      <c r="D72" t="n">
        <v>-0.00707686817977579885</v>
      </c>
      <c r="E72">
        <f>10^(D72/20)</f>
        <v>0.999185577263579283</v>
      </c>
      <c r="G72" s="2" t="n">
        <v>186.520669376644008</v>
      </c>
      <c r="H72" t="n">
        <v>-0.00737185801839868038</v>
      </c>
      <c r="I72" s="2" t="n">
        <v>186.520669376644008</v>
      </c>
      <c r="J72" t="n">
        <v>-0.00436288710579940009</v>
      </c>
      <c r="K72">
        <f>10^(J72/20)</f>
        <v>0.999497830188875369</v>
      </c>
      <c r="L72"/>
      <c r="M72" s="6">
        <f>I72</f>
        <v>186.520669376644008</v>
      </c>
      <c r="N72">
        <f>E72/K72</f>
        <v>0.999687590191928699</v>
      </c>
      <c r="O72">
        <f>AB72-AG72</f>
        <v>-0.00464152978116799986</v>
      </c>
      <c r="Y72" t="n">
        <v>186.520669376644008</v>
      </c>
      <c r="Z72" t="n">
        <v>0</v>
      </c>
      <c r="AA72" s="2" t="n">
        <v>186.520669376644008</v>
      </c>
      <c r="AB72" t="n">
        <v>-0.00481704690542983016</v>
      </c>
      <c r="AD72" t="n">
        <v>186.520669376644008</v>
      </c>
      <c r="AE72" t="n">
        <v>0</v>
      </c>
      <c r="AF72" t="n">
        <v>186.520669376644008</v>
      </c>
      <c r="AG72" t="n">
        <v>-0.00017551712426211501</v>
      </c>
    </row>
    <row r="73" spans="1:33">
      <c r="A73" s="2" t="n">
        <v>173.949800523557002</v>
      </c>
      <c r="B73" t="n">
        <v>-0.00533013452840190993</v>
      </c>
      <c r="C73" s="2" t="n">
        <v>173.949800523557002</v>
      </c>
      <c r="D73" t="n">
        <v>-0.00707904793625969031</v>
      </c>
      <c r="E73">
        <f>10^(D73/20)</f>
        <v>0.999185326514254335</v>
      </c>
      <c r="G73" s="2" t="n">
        <v>173.949800523557002</v>
      </c>
      <c r="H73" t="n">
        <v>-0.00735410573847366944</v>
      </c>
      <c r="I73" s="2" t="n">
        <v>173.949800523557002</v>
      </c>
      <c r="J73" t="n">
        <v>-0.00433725698856214947</v>
      </c>
      <c r="K73">
        <f>10^(J73/20)</f>
        <v>0.999500779487730462</v>
      </c>
      <c r="L73"/>
      <c r="M73" s="6">
        <f>I73</f>
        <v>173.949800523557002</v>
      </c>
      <c r="N73">
        <f>E73/K73</f>
        <v>0.999684389467272183</v>
      </c>
      <c r="O73">
        <f>AB73-AG73</f>
        <v>-0.00414203103645199988</v>
      </c>
      <c r="Y73" t="n">
        <v>173.949800523557002</v>
      </c>
      <c r="Z73" t="n">
        <v>0</v>
      </c>
      <c r="AA73" s="2" t="n">
        <v>173.949800523557002</v>
      </c>
      <c r="AB73" t="n">
        <v>-0.00436807707120579014</v>
      </c>
      <c r="AD73" t="n">
        <v>173.949800523557002</v>
      </c>
      <c r="AE73" t="n">
        <v>0</v>
      </c>
      <c r="AF73" t="n">
        <v>173.949800523557002</v>
      </c>
      <c r="AG73" t="n">
        <v>-0.000226046034754289993</v>
      </c>
    </row>
    <row r="74" spans="1:33">
      <c r="A74" s="2" t="n">
        <v>162.226166157937996</v>
      </c>
      <c r="B74" t="n">
        <v>-0.00536868172162727042</v>
      </c>
      <c r="C74" s="2" t="n">
        <v>162.226166157937996</v>
      </c>
      <c r="D74" t="n">
        <v>-0.00712319269139111011</v>
      </c>
      <c r="E74">
        <f>10^(D74/20)</f>
        <v>0.999180248314860897</v>
      </c>
      <c r="G74" s="2" t="n">
        <v>162.226166157937996</v>
      </c>
      <c r="H74" t="n">
        <v>-0.00743274287756129937</v>
      </c>
      <c r="I74" s="2" t="n">
        <v>162.226166157937996</v>
      </c>
      <c r="J74" t="n">
        <v>-0.00440646149579619006</v>
      </c>
      <c r="K74">
        <f>10^(J74/20)</f>
        <v>0.999492816033638931</v>
      </c>
      <c r="L74"/>
      <c r="M74" s="6">
        <f>I74</f>
        <v>162.226166157937996</v>
      </c>
      <c r="N74">
        <f>E74/K74</f>
        <v>0.999687273671442256</v>
      </c>
      <c r="O74">
        <f>AB74-AG74</f>
        <v>-0.00357089990575299998</v>
      </c>
      <c r="Y74" t="n">
        <v>162.226166157937996</v>
      </c>
      <c r="Z74" t="n">
        <v>0</v>
      </c>
      <c r="AA74" s="2" t="n">
        <v>162.226166157937996</v>
      </c>
      <c r="AB74" t="n">
        <v>-0.00412155903211441998</v>
      </c>
      <c r="AD74" t="n">
        <v>162.226166157937996</v>
      </c>
      <c r="AE74" t="n">
        <v>0</v>
      </c>
      <c r="AF74" t="n">
        <v>162.226166157937996</v>
      </c>
      <c r="AG74" t="n">
        <v>-0.000550659126361097062</v>
      </c>
    </row>
    <row r="75" spans="1:33">
      <c r="A75" s="2" t="n">
        <v>151.292665510926014</v>
      </c>
      <c r="B75" t="n">
        <v>-0.0053635698791582298</v>
      </c>
      <c r="C75" s="2" t="n">
        <v>151.292665510926014</v>
      </c>
      <c r="D75" t="n">
        <v>-0.00713584998773001011</v>
      </c>
      <c r="E75">
        <f>10^(D75/20)</f>
        <v>0.999178792285391104</v>
      </c>
      <c r="G75" s="2" t="n">
        <v>151.292665510926014</v>
      </c>
      <c r="H75" t="n">
        <v>-0.00743803531732977063</v>
      </c>
      <c r="I75" s="2" t="n">
        <v>151.292665510926014</v>
      </c>
      <c r="J75" t="n">
        <v>-0.0044160458168400698</v>
      </c>
      <c r="K75">
        <f>10^(J75/20)</f>
        <v>0.99949171315815466</v>
      </c>
      <c r="L75"/>
      <c r="M75" s="6">
        <f>I75</f>
        <v>151.292665510926014</v>
      </c>
      <c r="N75">
        <f>E75/K75</f>
        <v>0.999686919992787892</v>
      </c>
      <c r="O75">
        <f>AB75-AG75</f>
        <v>-0.0038688343369700009</v>
      </c>
      <c r="Y75" t="n">
        <v>151.292665510926014</v>
      </c>
      <c r="Z75" t="n">
        <v>0</v>
      </c>
      <c r="AA75" s="2" t="n">
        <v>151.292665510926014</v>
      </c>
      <c r="AB75" t="n">
        <v>-0.00400839405921260994</v>
      </c>
      <c r="AD75" t="n">
        <v>151.292665510926014</v>
      </c>
      <c r="AE75" t="n">
        <v>0</v>
      </c>
      <c r="AF75" t="n">
        <v>151.292665510926014</v>
      </c>
      <c r="AG75" t="n">
        <v>-0.000139559722242665995</v>
      </c>
    </row>
    <row r="76" spans="1:33">
      <c r="A76" s="2" t="n">
        <v>141.09604621437299</v>
      </c>
      <c r="B76" t="n">
        <v>-0.00538689865902538934</v>
      </c>
      <c r="C76" s="2" t="n">
        <v>141.09604621437299</v>
      </c>
      <c r="D76" t="n">
        <v>-0.00714664231132370986</v>
      </c>
      <c r="E76">
        <f>10^(D76/20)</f>
        <v>0.999177550794353309</v>
      </c>
      <c r="G76" s="2" t="n">
        <v>141.09604621437299</v>
      </c>
      <c r="H76" t="n">
        <v>-0.00747389784768563992</v>
      </c>
      <c r="I76" s="2" t="n">
        <v>141.09604621437299</v>
      </c>
      <c r="J76" t="n">
        <v>-0.00449227516617466094</v>
      </c>
      <c r="K76">
        <f>10^(J76/20)</f>
        <v>0.999482941429315375</v>
      </c>
      <c r="L76"/>
      <c r="M76" s="6">
        <f>I76</f>
        <v>141.09604621437299</v>
      </c>
      <c r="N76">
        <f>E76/K76</f>
        <v>0.999694451378503501</v>
      </c>
      <c r="O76">
        <f>AB76-AG76</f>
        <v>-0.00285720213338400022</v>
      </c>
      <c r="Y76" t="n">
        <v>141.09604621437299</v>
      </c>
      <c r="Z76" t="n">
        <v>0</v>
      </c>
      <c r="AA76" s="2" t="n">
        <v>141.09604621437299</v>
      </c>
      <c r="AB76" t="n">
        <v>-0.00348986225861835964</v>
      </c>
      <c r="AD76" t="n">
        <v>141.09604621437299</v>
      </c>
      <c r="AE76" t="n">
        <v>0</v>
      </c>
      <c r="AF76" t="n">
        <v>141.09604621437299</v>
      </c>
      <c r="AG76" t="n">
        <v>-0.000632660125233996951</v>
      </c>
    </row>
    <row r="77" spans="1:33">
      <c r="A77" s="2" t="n">
        <v>131.586644931514002</v>
      </c>
      <c r="B77" t="n">
        <v>-0.00546737340670853023</v>
      </c>
      <c r="C77" s="2" t="n">
        <v>131.586644931514002</v>
      </c>
      <c r="D77" t="n">
        <v>-0.00720927025861096915</v>
      </c>
      <c r="E77">
        <f>10^(D77/20)</f>
        <v>0.999170346441546009</v>
      </c>
      <c r="G77" s="2" t="n">
        <v>131.586644931514002</v>
      </c>
      <c r="H77" t="n">
        <v>-0.00750633509420180012</v>
      </c>
      <c r="I77" s="2" t="n">
        <v>131.586644931514002</v>
      </c>
      <c r="J77" t="n">
        <v>-0.00450941895402140069</v>
      </c>
      <c r="K77">
        <f>10^(J77/20)</f>
        <v>0.999480968700291506</v>
      </c>
      <c r="L77"/>
      <c r="M77" s="6">
        <f>I77</f>
        <v>131.586644931514002</v>
      </c>
      <c r="N77">
        <f>E77/K77</f>
        <v>0.99968921643485622</v>
      </c>
      <c r="O77">
        <f>AB77-AG77</f>
        <v>-0.00368585562140800072</v>
      </c>
      <c r="Y77" t="n">
        <v>131.586644931514002</v>
      </c>
      <c r="Z77" t="n">
        <v>0</v>
      </c>
      <c r="AA77" s="2" t="n">
        <v>131.586644931514002</v>
      </c>
      <c r="AB77" t="n">
        <v>-0.0036267316503426601</v>
      </c>
      <c r="AD77" t="n">
        <v>131.586644931514002</v>
      </c>
      <c r="AE77" t="n">
        <v>0</v>
      </c>
      <c r="AF77" t="n">
        <v>131.586644931514002</v>
      </c>
      <c r="AG77" t="n">
        <v>0.0000591239710648039019</v>
      </c>
    </row>
    <row r="78" spans="1:33">
      <c r="A78" s="2" t="n">
        <v>122.718145468263998</v>
      </c>
      <c r="B78" t="n">
        <v>-0.00545870486527396892</v>
      </c>
      <c r="C78" s="2" t="n">
        <v>122.718145468263998</v>
      </c>
      <c r="D78" t="n">
        <v>-0.00721899769642926881</v>
      </c>
      <c r="E78">
        <f>10^(D78/20)</f>
        <v>0.999169227458648557</v>
      </c>
      <c r="G78" s="2" t="n">
        <v>122.718145468263998</v>
      </c>
      <c r="H78" t="n">
        <v>-0.00754678320458159924</v>
      </c>
      <c r="I78" s="2" t="n">
        <v>122.718145468263998</v>
      </c>
      <c r="J78" t="n">
        <v>-0.00455807635850663928</v>
      </c>
      <c r="K78">
        <f>10^(J78/20)</f>
        <v>0.99947536973281963</v>
      </c>
      <c r="L78"/>
      <c r="M78" s="6">
        <f>I78</f>
        <v>122.718145468263998</v>
      </c>
      <c r="N78">
        <f>E78/K78</f>
        <v>0.999693697030019912</v>
      </c>
      <c r="O78">
        <f>AB78-AG78</f>
        <v>-0.0037469236710389997</v>
      </c>
      <c r="Y78" t="n">
        <v>122.718145468263998</v>
      </c>
      <c r="Z78" t="n">
        <v>0</v>
      </c>
      <c r="AA78" s="2" t="n">
        <v>122.718145468263998</v>
      </c>
      <c r="AB78" t="n">
        <v>-0.0036369014993056199</v>
      </c>
      <c r="AD78" t="n">
        <v>122.718145468263998</v>
      </c>
      <c r="AE78" t="n">
        <v>0</v>
      </c>
      <c r="AF78" t="n">
        <v>122.718145468263998</v>
      </c>
      <c r="AG78" t="n">
        <v>0.000110022171733252994</v>
      </c>
    </row>
    <row r="79" spans="1:33">
      <c r="A79" s="2" t="n">
        <v>114.447353187005007</v>
      </c>
      <c r="B79" t="n">
        <v>-0.00551246649722290005</v>
      </c>
      <c r="C79" s="2" t="n">
        <v>114.447353187005007</v>
      </c>
      <c r="D79" t="n">
        <v>-0.00729232029268905002</v>
      </c>
      <c r="E79">
        <f>10^(D79/20)</f>
        <v>0.999160792931421859</v>
      </c>
      <c r="G79" s="2" t="n">
        <v>114.447353187005007</v>
      </c>
      <c r="H79" t="n">
        <v>-0.00758117447102407027</v>
      </c>
      <c r="I79" s="2" t="n">
        <v>114.447353187005007</v>
      </c>
      <c r="J79" t="n">
        <v>-0.00459407882377583032</v>
      </c>
      <c r="K79">
        <f>10^(J79/20)</f>
        <v>0.999471226978971572</v>
      </c>
      <c r="L79"/>
      <c r="M79" s="6">
        <f>I79</f>
        <v>114.447353187005007</v>
      </c>
      <c r="N79">
        <f>E79/K79</f>
        <v>0.999689401716457304</v>
      </c>
      <c r="O79">
        <f>AB79-AG79</f>
        <v>-0.00333656621120000052</v>
      </c>
      <c r="Y79" t="n">
        <v>114.447353187005007</v>
      </c>
      <c r="Z79" t="n">
        <v>0</v>
      </c>
      <c r="AA79" s="2" t="n">
        <v>114.447353187005007</v>
      </c>
      <c r="AB79" t="n">
        <v>-0.00321229011598234049</v>
      </c>
      <c r="AD79" t="n">
        <v>114.447353187005007</v>
      </c>
      <c r="AE79" t="n">
        <v>0</v>
      </c>
      <c r="AF79" t="n">
        <v>114.447353187005007</v>
      </c>
      <c r="AG79" t="n">
        <v>0.000124276095217974025</v>
      </c>
    </row>
    <row r="80" spans="1:33">
      <c r="A80" s="2" t="n">
        <v>106.733984624125995</v>
      </c>
      <c r="B80" t="n">
        <v>-0.00559346811513684017</v>
      </c>
      <c r="C80" s="2" t="n">
        <v>106.733984624125995</v>
      </c>
      <c r="D80" t="n">
        <v>-0.00736626610885986999</v>
      </c>
      <c r="E80">
        <f>10^(D80/20)</f>
        <v>0.999152286785372468</v>
      </c>
      <c r="G80" s="2" t="n">
        <v>106.733984624125995</v>
      </c>
      <c r="H80" t="n">
        <v>-0.00764023750217616016</v>
      </c>
      <c r="I80" s="2" t="n">
        <v>106.733984624125995</v>
      </c>
      <c r="J80" t="n">
        <v>-0.00465273183182166061</v>
      </c>
      <c r="K80">
        <f>10^(J80/20)</f>
        <v>0.999464477895293513</v>
      </c>
      <c r="L80"/>
      <c r="M80" s="6">
        <f>I80</f>
        <v>106.733984624125995</v>
      </c>
      <c r="N80">
        <f>E80/K80</f>
        <v>0.999687641615259359</v>
      </c>
      <c r="O80">
        <f>AB80-AG80</f>
        <v>-0.00226900052513200023</v>
      </c>
      <c r="Y80" t="n">
        <v>106.733984624125995</v>
      </c>
      <c r="Z80" t="n">
        <v>0</v>
      </c>
      <c r="AA80" s="2" t="n">
        <v>106.733984624125995</v>
      </c>
      <c r="AB80" t="n">
        <v>-0.00256603340989159001</v>
      </c>
      <c r="AD80" t="n">
        <v>106.733984624125995</v>
      </c>
      <c r="AE80" t="n">
        <v>0</v>
      </c>
      <c r="AF80" t="n">
        <v>106.733984624125995</v>
      </c>
      <c r="AG80" t="n">
        <v>-0.000297032884759574003</v>
      </c>
    </row>
    <row r="81" spans="1:33">
      <c r="A81" s="2" t="n">
        <v>99.5404712866424006</v>
      </c>
      <c r="B81" t="n">
        <v>-0.00569940289877560957</v>
      </c>
      <c r="C81" s="2" t="n">
        <v>99.5404712866424006</v>
      </c>
      <c r="D81" t="n">
        <v>-0.00746798470977654105</v>
      </c>
      <c r="E81">
        <f>10^(D81/20)</f>
        <v>0.999140585994565988</v>
      </c>
      <c r="G81" s="2" t="n">
        <v>99.5404712866424006</v>
      </c>
      <c r="H81" t="n">
        <v>-0.00767080475039638898</v>
      </c>
      <c r="I81" s="2" t="n">
        <v>99.5404712866424006</v>
      </c>
      <c r="J81" t="n">
        <v>-0.00471349667400334038</v>
      </c>
      <c r="K81">
        <f>10^(J81/20)</f>
        <v>0.999457485855173289</v>
      </c>
      <c r="L81"/>
      <c r="M81" s="6">
        <f>I81</f>
        <v>99.5404712866424006</v>
      </c>
      <c r="N81">
        <f>E81/K81</f>
        <v>0.999682928123414882</v>
      </c>
      <c r="O81">
        <f>AB81-AG81</f>
        <v>-0.00299954047391500023</v>
      </c>
      <c r="Y81" t="n">
        <v>99.5404712866424006</v>
      </c>
      <c r="Z81" t="n">
        <v>0</v>
      </c>
      <c r="AA81" s="2" t="n">
        <v>99.5404712866424006</v>
      </c>
      <c r="AB81" t="n">
        <v>-0.00274875778393379999</v>
      </c>
      <c r="AD81" t="n">
        <v>99.5404712866424006</v>
      </c>
      <c r="AE81" t="n">
        <v>0</v>
      </c>
      <c r="AF81" t="n">
        <v>99.5404712866424006</v>
      </c>
      <c r="AG81" t="n">
        <v>0.000250782689980826978</v>
      </c>
    </row>
    <row r="82" spans="1:33">
      <c r="A82" s="2" t="n">
        <v>92.8317766722557991</v>
      </c>
      <c r="B82" t="n">
        <v>-0.00571089447065532951</v>
      </c>
      <c r="C82" s="2" t="n">
        <v>92.8317766722557991</v>
      </c>
      <c r="D82" t="n">
        <v>-0.00749667146236907023</v>
      </c>
      <c r="E82">
        <f>10^(D82/20)</f>
        <v>0.999137286153945681</v>
      </c>
      <c r="G82" s="2" t="n">
        <v>92.8317766722557991</v>
      </c>
      <c r="H82" t="n">
        <v>-0.00777217179970310923</v>
      </c>
      <c r="I82" s="2" t="n">
        <v>92.8317766722557991</v>
      </c>
      <c r="J82" t="n">
        <v>-0.00481413670970848973</v>
      </c>
      <c r="K82">
        <f>10^(J82/20)</f>
        <v>0.999445905595864481</v>
      </c>
      <c r="L82"/>
      <c r="M82" s="6">
        <f>I82</f>
        <v>92.8317766722557991</v>
      </c>
      <c r="N82">
        <f>E82/K82</f>
        <v>0.999691209458970143</v>
      </c>
      <c r="O82">
        <f>AB82-AG82</f>
        <v>-0.00259359961954299933</v>
      </c>
      <c r="Y82" t="n">
        <v>92.8317766722557991</v>
      </c>
      <c r="Z82" t="n">
        <v>0</v>
      </c>
      <c r="AA82" s="2" t="n">
        <v>92.8317766722557991</v>
      </c>
      <c r="AB82" t="n">
        <v>-0.00233618237336941048</v>
      </c>
      <c r="AD82" t="n">
        <v>92.8317766722557991</v>
      </c>
      <c r="AE82" t="n">
        <v>0</v>
      </c>
      <c r="AF82" t="n">
        <v>92.8317766722557991</v>
      </c>
      <c r="AG82" t="n">
        <v>0.000257417246174030989</v>
      </c>
    </row>
    <row r="83" spans="1:33">
      <c r="A83" s="2" t="n">
        <v>86.5752256216613034</v>
      </c>
      <c r="B83" t="n">
        <v>-0.00576623104626990113</v>
      </c>
      <c r="C83" s="2" t="n">
        <v>86.5752256216613034</v>
      </c>
      <c r="D83" t="n">
        <v>-0.00755719138850337036</v>
      </c>
      <c r="E83">
        <f>10^(D83/20)</f>
        <v>0.999130324575267537</v>
      </c>
      <c r="G83" s="2" t="n">
        <v>86.5752256216613034</v>
      </c>
      <c r="H83" t="n">
        <v>-0.00785869994622647106</v>
      </c>
      <c r="I83" s="2" t="n">
        <v>86.5752256216613034</v>
      </c>
      <c r="J83" t="n">
        <v>-0.00488174620336275034</v>
      </c>
      <c r="K83">
        <f>10^(J83/20)</f>
        <v>0.999438126108506353</v>
      </c>
      <c r="L83"/>
      <c r="M83" s="6">
        <f>I83</f>
        <v>86.5752256216613034</v>
      </c>
      <c r="N83">
        <f>E83/K83</f>
        <v>0.999692025423887287</v>
      </c>
      <c r="O83">
        <f>AB83-AG83</f>
        <v>-0.00195684526948999977</v>
      </c>
      <c r="Y83" t="n">
        <v>86.5752256216613034</v>
      </c>
      <c r="Z83" t="n">
        <v>0</v>
      </c>
      <c r="AA83" s="2" t="n">
        <v>86.5752256216613034</v>
      </c>
      <c r="AB83" t="n">
        <v>-0.00205748553224794017</v>
      </c>
      <c r="AD83" t="n">
        <v>86.5752256216613034</v>
      </c>
      <c r="AE83" t="n">
        <v>0</v>
      </c>
      <c r="AF83" t="n">
        <v>86.5752256216613034</v>
      </c>
      <c r="AG83" t="n">
        <v>-0.000100640262758134003</v>
      </c>
    </row>
    <row r="84" spans="1:33">
      <c r="A84" s="2" t="n">
        <v>80.740345171931196</v>
      </c>
      <c r="B84" t="n">
        <v>-0.00584362365249981952</v>
      </c>
      <c r="C84" s="2" t="n">
        <v>80.740345171931196</v>
      </c>
      <c r="D84" t="n">
        <v>-0.00762548541146891079</v>
      </c>
      <c r="E84">
        <f>10^(D84/20)</f>
        <v>0.999122468804135444</v>
      </c>
      <c r="G84" s="2" t="n">
        <v>80.740345171931196</v>
      </c>
      <c r="H84" t="n">
        <v>-0.00787801629915858026</v>
      </c>
      <c r="I84" s="2" t="n">
        <v>80.740345171931196</v>
      </c>
      <c r="J84" t="n">
        <v>-0.00489497303724957966</v>
      </c>
      <c r="K84">
        <f>10^(J84/20)</f>
        <v>0.99943660416975586</v>
      </c>
      <c r="L84"/>
      <c r="M84" s="6">
        <f>I84</f>
        <v>80.740345171931196</v>
      </c>
      <c r="N84">
        <f>E84/K84</f>
        <v>0.999685687552057445</v>
      </c>
      <c r="O84">
        <f>AB84-AG84</f>
        <v>-0.00212340019248500056</v>
      </c>
      <c r="Y84" t="n">
        <v>80.740345171931196</v>
      </c>
      <c r="Z84" t="n">
        <v>0</v>
      </c>
      <c r="AA84" s="2" t="n">
        <v>80.740345171931196</v>
      </c>
      <c r="AB84" t="n">
        <v>-0.00205530249280627997</v>
      </c>
      <c r="AD84" t="n">
        <v>80.740345171931196</v>
      </c>
      <c r="AE84" t="n">
        <v>0</v>
      </c>
      <c r="AF84" t="n">
        <v>80.740345171931196</v>
      </c>
      <c r="AG84" t="n">
        <v>0.0000680976996790727007</v>
      </c>
    </row>
    <row r="85" spans="1:33">
      <c r="A85" s="2" t="n">
        <v>75.298716135849503</v>
      </c>
      <c r="B85" t="n">
        <v>-0.00535280761811868011</v>
      </c>
      <c r="C85" s="2" t="n">
        <v>75.298716135849503</v>
      </c>
      <c r="D85" t="n">
        <v>-0.00710439555632390984</v>
      </c>
      <c r="E85">
        <f>10^(D85/20)</f>
        <v>0.999182410643327223</v>
      </c>
      <c r="G85" s="2" t="n">
        <v>75.298716135849503</v>
      </c>
      <c r="H85" t="n">
        <v>-0.00735958592646669985</v>
      </c>
      <c r="I85" s="2" t="n">
        <v>75.298716135849503</v>
      </c>
      <c r="J85" t="n">
        <v>-0.00435192661730336994</v>
      </c>
      <c r="K85">
        <f>10^(J85/20)</f>
        <v>0.999499091428868347</v>
      </c>
      <c r="L85"/>
      <c r="M85" s="6">
        <f>I85</f>
        <v>75.298716135849503</v>
      </c>
      <c r="N85">
        <f>E85/K85</f>
        <v>0.999683160506841162</v>
      </c>
      <c r="O85">
        <f>AB85-AG85</f>
        <v>-0.00178686979251100002</v>
      </c>
      <c r="Y85" t="n">
        <v>75.298716135849503</v>
      </c>
      <c r="Z85" t="n">
        <v>0</v>
      </c>
      <c r="AA85" s="2" t="n">
        <v>75.298716135849503</v>
      </c>
      <c r="AB85" t="n">
        <v>-0.00184700781875335007</v>
      </c>
      <c r="AD85" t="n">
        <v>75.298716135849503</v>
      </c>
      <c r="AE85" t="n">
        <v>0</v>
      </c>
      <c r="AF85" t="n">
        <v>75.298716135849503</v>
      </c>
      <c r="AG85" t="n">
        <v>-0.0000601380262423845036</v>
      </c>
    </row>
    <row r="86" spans="1:33">
      <c r="A86" s="2" t="n">
        <v>70.2238346843027017</v>
      </c>
      <c r="B86" t="n">
        <v>-0.00535445858595568946</v>
      </c>
      <c r="C86" s="2" t="n">
        <v>70.2238346843027017</v>
      </c>
      <c r="D86" t="n">
        <v>-0.00711829390375231963</v>
      </c>
      <c r="E86">
        <f>10^(D86/20)</f>
        <v>0.999180811846454731</v>
      </c>
      <c r="G86" s="2" t="n">
        <v>70.2238346843027017</v>
      </c>
      <c r="H86" t="n">
        <v>-0.00739038926988702016</v>
      </c>
      <c r="I86" s="2" t="n">
        <v>70.2238346843027017</v>
      </c>
      <c r="J86" t="n">
        <v>-0.00438768761748070002</v>
      </c>
      <c r="K86">
        <f>10^(J86/20)</f>
        <v>0.999494976362352716</v>
      </c>
      <c r="L86"/>
      <c r="M86" s="6">
        <f>I86</f>
        <v>70.2238346843027017</v>
      </c>
      <c r="N86">
        <f>E86/K86</f>
        <v>0.99968567674342772</v>
      </c>
      <c r="O86">
        <f>AB86-AG86</f>
        <v>-0.000978842097651999765</v>
      </c>
      <c r="Y86" t="n">
        <v>70.2238346843027017</v>
      </c>
      <c r="Z86" t="n">
        <v>0</v>
      </c>
      <c r="AA86" s="2" t="n">
        <v>70.2238346843027017</v>
      </c>
      <c r="AB86" t="n">
        <v>-0.00169591714234230011</v>
      </c>
      <c r="AD86" t="n">
        <v>70.2238346843027017</v>
      </c>
      <c r="AE86" t="n">
        <v>0</v>
      </c>
      <c r="AF86" t="n">
        <v>70.2238346843027017</v>
      </c>
      <c r="AG86" t="n">
        <v>-0.00071707504469031802</v>
      </c>
    </row>
    <row r="87" spans="1:33">
      <c r="A87" s="2" t="n">
        <v>65.4909832575547028</v>
      </c>
      <c r="B87" t="n">
        <v>-0.00537979007424738054</v>
      </c>
      <c r="C87" s="2" t="n">
        <v>65.4909832575547028</v>
      </c>
      <c r="D87" t="n">
        <v>-0.00715296538862384956</v>
      </c>
      <c r="E87">
        <f>10^(D87/20)</f>
        <v>0.999176823422160609</v>
      </c>
      <c r="G87" s="2" t="n">
        <v>65.4909832575547028</v>
      </c>
      <c r="H87" t="n">
        <v>-0.00746358716131791944</v>
      </c>
      <c r="I87" s="2" t="n">
        <v>65.4909832575547028</v>
      </c>
      <c r="J87" t="n">
        <v>-0.00445019787395994992</v>
      </c>
      <c r="K87">
        <f>10^(J87/20)</f>
        <v>0.999487783263533203</v>
      </c>
      <c r="L87"/>
      <c r="M87" s="6">
        <f>I87</f>
        <v>65.4909832575547028</v>
      </c>
      <c r="N87">
        <f>E87/K87</f>
        <v>0.999688880798165691</v>
      </c>
      <c r="O87">
        <f>AB87-AG87</f>
        <v>-0.00158548803989300024</v>
      </c>
      <c r="Y87" t="n">
        <v>65.4909832575547028</v>
      </c>
      <c r="Z87" t="n">
        <v>0</v>
      </c>
      <c r="AA87" s="2" t="n">
        <v>65.4909832575547028</v>
      </c>
      <c r="AB87" t="n">
        <v>-0.00189168569642105986</v>
      </c>
      <c r="AD87" t="n">
        <v>65.4909832575547028</v>
      </c>
      <c r="AE87" t="n">
        <v>0</v>
      </c>
      <c r="AF87" t="n">
        <v>65.4909832575547028</v>
      </c>
      <c r="AG87" t="n">
        <v>-0.000306197656527729078</v>
      </c>
    </row>
    <row r="88" spans="1:33">
      <c r="A88" s="2" t="n">
        <v>61.0771101766683984</v>
      </c>
      <c r="B88" t="n">
        <v>-0.00546000187589342012</v>
      </c>
      <c r="C88" s="2" t="n">
        <v>61.0771101766683984</v>
      </c>
      <c r="D88" t="n">
        <v>-0.0072091820140389995</v>
      </c>
      <c r="E88">
        <f>10^(D88/20)</f>
        <v>0.999170356592649789</v>
      </c>
      <c r="G88" s="2" t="n">
        <v>61.0771101766683984</v>
      </c>
      <c r="H88" t="n">
        <v>-0.00744691479562288983</v>
      </c>
      <c r="I88" s="2" t="n">
        <v>61.0771101766683984</v>
      </c>
      <c r="J88" t="n">
        <v>-0.00444843431101555975</v>
      </c>
      <c r="K88">
        <f>10^(J88/20)</f>
        <v>0.999487986197241263</v>
      </c>
      <c r="L88"/>
      <c r="M88" s="6">
        <f>I88</f>
        <v>61.0771101766683984</v>
      </c>
      <c r="N88">
        <f>E88/K88</f>
        <v>0.99968220768135545</v>
      </c>
      <c r="O88">
        <f>AB88-AG88</f>
        <v>-0.00141170829163599976</v>
      </c>
      <c r="Y88" t="n">
        <v>61.0771101766683984</v>
      </c>
      <c r="Z88" t="n">
        <v>0</v>
      </c>
      <c r="AA88" s="2" t="n">
        <v>61.0771101766683984</v>
      </c>
      <c r="AB88" t="n">
        <v>-0.00133094639608089005</v>
      </c>
      <c r="AD88" t="n">
        <v>61.0771101766683984</v>
      </c>
      <c r="AE88" t="n">
        <v>0</v>
      </c>
      <c r="AF88" t="n">
        <v>61.0771101766683984</v>
      </c>
      <c r="AG88" t="n">
        <v>0.0000807618955550051965</v>
      </c>
    </row>
    <row r="89" spans="1:33">
      <c r="A89" s="2" t="n">
        <v>56.9607173687160966</v>
      </c>
      <c r="B89" t="n">
        <v>-0.00548484513899284032</v>
      </c>
      <c r="C89" s="2" t="n">
        <v>56.9607173687160966</v>
      </c>
      <c r="D89" t="n">
        <v>-0.00725007360946687918</v>
      </c>
      <c r="E89">
        <f>10^(D89/20)</f>
        <v>0.999165652690631134</v>
      </c>
      <c r="G89" s="2" t="n">
        <v>56.9607173687160966</v>
      </c>
      <c r="H89" t="n">
        <v>-0.00753455233957120019</v>
      </c>
      <c r="I89" s="2" t="n">
        <v>56.9607173687160966</v>
      </c>
      <c r="J89" t="n">
        <v>-0.00450962832844462014</v>
      </c>
      <c r="K89">
        <f>10^(J89/20)</f>
        <v>0.999480944607682176</v>
      </c>
      <c r="L89"/>
      <c r="M89" s="6">
        <f>I89</f>
        <v>56.9607173687160966</v>
      </c>
      <c r="N89">
        <f>E89/K89</f>
        <v>0.999684544343989678</v>
      </c>
      <c r="O89">
        <f>AB89-AG89</f>
        <v>-0.00175407285620099991</v>
      </c>
      <c r="Y89" t="n">
        <v>56.9607173687160966</v>
      </c>
      <c r="Z89" t="n">
        <v>0</v>
      </c>
      <c r="AA89" s="2" t="n">
        <v>56.9607173687160966</v>
      </c>
      <c r="AB89" t="n">
        <v>-0.00154600974838103999</v>
      </c>
      <c r="AD89" t="n">
        <v>56.9607173687160966</v>
      </c>
      <c r="AE89" t="n">
        <v>0</v>
      </c>
      <c r="AF89" t="n">
        <v>56.9607173687160966</v>
      </c>
      <c r="AG89" t="n">
        <v>0.000208063107819730053</v>
      </c>
    </row>
    <row r="90" spans="1:33">
      <c r="A90" s="2" t="n">
        <v>53.1217556589338002</v>
      </c>
      <c r="B90" t="n">
        <v>-0.00559513952737383935</v>
      </c>
      <c r="C90" s="2" t="n">
        <v>53.1217556589338002</v>
      </c>
      <c r="D90" t="n">
        <v>-0.0073441805760610599</v>
      </c>
      <c r="E90">
        <f>10^(D90/20)</f>
        <v>0.999154827324059447</v>
      </c>
      <c r="G90" s="2" t="n">
        <v>53.1217556589338002</v>
      </c>
      <c r="H90" t="n">
        <v>-0.00758804700385636011</v>
      </c>
      <c r="I90" s="2" t="n">
        <v>53.1217556589338002</v>
      </c>
      <c r="J90" t="n">
        <v>-0.00457510199745169999</v>
      </c>
      <c r="K90">
        <f>10^(J90/20)</f>
        <v>0.999473410613969726</v>
      </c>
      <c r="L90"/>
      <c r="M90" s="6">
        <f>I90</f>
        <v>53.1217556589338002</v>
      </c>
      <c r="N90">
        <f>E90/K90</f>
        <v>0.999681248859122462</v>
      </c>
      <c r="O90">
        <f>AB90-AG90</f>
        <v>-0.00143568554486000011</v>
      </c>
      <c r="Y90" t="n">
        <v>53.1217556589338002</v>
      </c>
      <c r="Z90" t="n">
        <v>0</v>
      </c>
      <c r="AA90" s="2" t="n">
        <v>53.1217556589338002</v>
      </c>
      <c r="AB90" t="n">
        <v>-0.00132468666396335011</v>
      </c>
      <c r="AD90" t="n">
        <v>53.1217556589338002</v>
      </c>
      <c r="AE90" t="n">
        <v>0</v>
      </c>
      <c r="AF90" t="n">
        <v>53.1217556589338002</v>
      </c>
      <c r="AG90" t="n">
        <v>0.00011099888089650698</v>
      </c>
    </row>
    <row r="91" spans="1:33">
      <c r="A91" s="2" t="n">
        <v>49.5415271198342992</v>
      </c>
      <c r="B91" t="n">
        <v>-0.00564130539135395903</v>
      </c>
      <c r="C91" s="2" t="n">
        <v>49.5415271198342992</v>
      </c>
      <c r="D91" t="n">
        <v>-0.00739866328424698061</v>
      </c>
      <c r="E91">
        <f>10^(D91/20)</f>
        <v>0.999148560091522064</v>
      </c>
      <c r="G91" s="2" t="n">
        <v>49.5415271198342992</v>
      </c>
      <c r="H91" t="n">
        <v>-0.00767191886374417997</v>
      </c>
      <c r="I91" s="2" t="n">
        <v>49.5415271198342992</v>
      </c>
      <c r="J91" t="n">
        <v>-0.00464012803046781031</v>
      </c>
      <c r="K91">
        <f>10^(J91/20)</f>
        <v>0.999465928185524</v>
      </c>
      <c r="L91"/>
      <c r="M91" s="6">
        <f>I91</f>
        <v>49.5415271198342992</v>
      </c>
      <c r="N91">
        <f>E91/K91</f>
        <v>0.999682462318071963</v>
      </c>
      <c r="O91">
        <f>AB91-AG91</f>
        <v>-0.00108017968895600003</v>
      </c>
      <c r="Y91" t="n">
        <v>49.5415271198342992</v>
      </c>
      <c r="Z91" t="n">
        <v>0</v>
      </c>
      <c r="AA91" s="2" t="n">
        <v>49.5415271198342992</v>
      </c>
      <c r="AB91" t="n">
        <v>-0.000876681558168001906</v>
      </c>
      <c r="AD91" t="n">
        <v>49.5415271198342992</v>
      </c>
      <c r="AE91" t="n">
        <v>0</v>
      </c>
      <c r="AF91" t="n">
        <v>49.5415271198342992</v>
      </c>
      <c r="AG91" t="n">
        <v>0.000203498130788053988</v>
      </c>
    </row>
    <row r="92" spans="1:33">
      <c r="A92" s="2" t="n">
        <v>46.2025940016632006</v>
      </c>
      <c r="B92" t="n">
        <v>-0.00565716436168901993</v>
      </c>
      <c r="C92" s="2" t="n">
        <v>46.2025940016632006</v>
      </c>
      <c r="D92" t="n">
        <v>-0.00745043482864037987</v>
      </c>
      <c r="E92">
        <f>10^(D92/20)</f>
        <v>0.99914260476489023</v>
      </c>
      <c r="G92" s="2" t="n">
        <v>46.2025940016632006</v>
      </c>
      <c r="H92" t="n">
        <v>-0.00772632052434372074</v>
      </c>
      <c r="I92" s="2" t="n">
        <v>46.2025940016632006</v>
      </c>
      <c r="J92" t="n">
        <v>-0.00470547610363104951</v>
      </c>
      <c r="K92">
        <f>10^(J92/20)</f>
        <v>0.999458408756928129</v>
      </c>
      <c r="L92"/>
      <c r="M92" s="6">
        <f>I92</f>
        <v>46.2025940016632006</v>
      </c>
      <c r="N92">
        <f>E92/K92</f>
        <v>0.999684024878603239</v>
      </c>
      <c r="O92">
        <f>AB92-AG92</f>
        <v>-0.00138660678101199997</v>
      </c>
      <c r="Y92" t="n">
        <v>46.2025940016632006</v>
      </c>
      <c r="Z92" t="n">
        <v>0</v>
      </c>
      <c r="AA92" s="2" t="n">
        <v>46.2025940016632006</v>
      </c>
      <c r="AB92" t="n">
        <v>-0.00153557263547555012</v>
      </c>
      <c r="AD92" t="n">
        <v>46.2025940016632006</v>
      </c>
      <c r="AE92" t="n">
        <v>0</v>
      </c>
      <c r="AF92" t="n">
        <v>46.2025940016632006</v>
      </c>
      <c r="AG92" t="n">
        <v>-0.00014896585446422197</v>
      </c>
    </row>
    <row r="93" spans="1:33">
      <c r="A93" s="2" t="n">
        <v>43.0886938006376994</v>
      </c>
      <c r="B93" t="n">
        <v>-0.00580570537189419955</v>
      </c>
      <c r="C93" s="2" t="n">
        <v>43.0886938006376994</v>
      </c>
      <c r="D93" t="n">
        <v>-0.00758325329485671862</v>
      </c>
      <c r="E93">
        <f>10^(D93/20)</f>
        <v>0.999127326701361795</v>
      </c>
      <c r="G93" s="2" t="n">
        <v>43.0886938006376994</v>
      </c>
      <c r="H93" t="n">
        <v>-0.00783003862800715922</v>
      </c>
      <c r="I93" s="2" t="n">
        <v>43.0886938006376994</v>
      </c>
      <c r="J93" t="n">
        <v>-0.00480628399497767056</v>
      </c>
      <c r="K93">
        <f>10^(J93/20)</f>
        <v>0.999446809172521533</v>
      </c>
      <c r="L93"/>
      <c r="M93" s="6">
        <f>I93</f>
        <v>43.0886938006376994</v>
      </c>
      <c r="N93">
        <f>E93/K93</f>
        <v>0.999680340696245118</v>
      </c>
      <c r="O93">
        <f>AB93-AG93</f>
        <v>-0.000584462036158000053</v>
      </c>
      <c r="Y93" t="n">
        <v>43.0886938006376994</v>
      </c>
      <c r="Z93" t="n">
        <v>0</v>
      </c>
      <c r="AA93" s="2" t="n">
        <v>43.0886938006376994</v>
      </c>
      <c r="AB93" t="n">
        <v>-0.00102138467809708988</v>
      </c>
      <c r="AD93" t="n">
        <v>43.0886938006376994</v>
      </c>
      <c r="AE93" t="n">
        <v>0</v>
      </c>
      <c r="AF93" t="n">
        <v>43.0886938006376994</v>
      </c>
      <c r="AG93" t="n">
        <v>-0.00043692264193850896</v>
      </c>
    </row>
    <row r="94" spans="1:33">
      <c r="A94" s="2" t="n">
        <v>40.1846600513010017</v>
      </c>
      <c r="B94" t="n">
        <v>-0.00584588937265938924</v>
      </c>
      <c r="C94" s="2" t="n">
        <v>40.1846600513010017</v>
      </c>
      <c r="D94" t="n">
        <v>-0.00762662504123051033</v>
      </c>
      <c r="E94">
        <f>10^(D94/20)</f>
        <v>0.999122337714553233</v>
      </c>
      <c r="G94" s="2" t="n">
        <v>40.1846600513010017</v>
      </c>
      <c r="H94" t="n">
        <v>-0.0079536186694727391</v>
      </c>
      <c r="I94" s="2" t="n">
        <v>40.1846600513010017</v>
      </c>
      <c r="J94" t="n">
        <v>-0.0049366971227133396</v>
      </c>
      <c r="K94">
        <f>10^(J94/20)</f>
        <v>0.999431803224790727</v>
      </c>
      <c r="L94"/>
      <c r="M94" s="6">
        <f>I94</f>
        <v>40.1846600513010017</v>
      </c>
      <c r="N94">
        <f>E94/K94</f>
        <v>0.99969035855249011</v>
      </c>
      <c r="O94">
        <f>AB94-AG94</f>
        <v>-0.00147652656328600003</v>
      </c>
      <c r="Y94" t="n">
        <v>40.1846600513010017</v>
      </c>
      <c r="Z94" t="n">
        <v>0</v>
      </c>
      <c r="AA94" s="2" t="n">
        <v>40.1846600513010017</v>
      </c>
      <c r="AB94" t="n">
        <v>-0.00114659313470611002</v>
      </c>
      <c r="AD94" t="n">
        <v>40.1846600513010017</v>
      </c>
      <c r="AE94" t="n">
        <v>0</v>
      </c>
      <c r="AF94" t="n">
        <v>40.1846600513010017</v>
      </c>
      <c r="AG94" t="n">
        <v>0.00032993342858042003</v>
      </c>
    </row>
    <row r="95" spans="1:33">
      <c r="A95" s="2" t="n">
        <v>37.476348457207699</v>
      </c>
      <c r="B95" t="n">
        <v>-0.00598402271707179967</v>
      </c>
      <c r="C95" s="2" t="n">
        <v>37.476348457207699</v>
      </c>
      <c r="D95" t="n">
        <v>-0.00773761728736405985</v>
      </c>
      <c r="E95">
        <f>10^(D95/20)</f>
        <v>0.999109570556725579</v>
      </c>
      <c r="G95" s="2" t="n">
        <v>37.476348457207699</v>
      </c>
      <c r="H95" t="n">
        <v>-0.0080792128812538202</v>
      </c>
      <c r="I95" s="2" t="n">
        <v>37.476348457207699</v>
      </c>
      <c r="J95" t="n">
        <v>-0.00505314365881020944</v>
      </c>
      <c r="K95">
        <f>10^(J95/20)</f>
        <v>0.999418404529172122</v>
      </c>
      <c r="L95"/>
      <c r="M95" s="6">
        <f>I95</f>
        <v>37.476348457207699</v>
      </c>
      <c r="N95">
        <f>E95/K95</f>
        <v>0.99969098630658948</v>
      </c>
      <c r="O95">
        <f>AB95-AG95</f>
        <v>-0.000423701984857999925</v>
      </c>
      <c r="Y95" t="n">
        <v>37.476348457207699</v>
      </c>
      <c r="Z95" t="n">
        <v>0</v>
      </c>
      <c r="AA95" s="2" t="n">
        <v>37.476348457207699</v>
      </c>
      <c r="AB95" t="n">
        <v>-0.000740286906761866881</v>
      </c>
      <c r="AD95" t="n">
        <v>37.476348457207699</v>
      </c>
      <c r="AE95" t="n">
        <v>0</v>
      </c>
      <c r="AF95" t="n">
        <v>37.476348457207699</v>
      </c>
      <c r="AG95" t="n">
        <v>-0.000316584921904449956</v>
      </c>
    </row>
    <row r="96" spans="1:33">
      <c r="A96" s="2" t="n">
        <v>34.9505680001537016</v>
      </c>
      <c r="B96" t="n">
        <v>-0.00623180267813613131</v>
      </c>
      <c r="C96" s="2" t="n">
        <v>34.9505680001537016</v>
      </c>
      <c r="D96" t="n">
        <v>-0.00797134274605542004</v>
      </c>
      <c r="E96">
        <f>10^(D96/20)</f>
        <v>0.999082686240828011</v>
      </c>
      <c r="G96" s="2" t="n">
        <v>34.9505680001537016</v>
      </c>
      <c r="H96" t="n">
        <v>-0.00828920162339499988</v>
      </c>
      <c r="I96" s="2" t="n">
        <v>34.9505680001537016</v>
      </c>
      <c r="J96" t="n">
        <v>-0.0052759294454616299</v>
      </c>
      <c r="K96">
        <f>10^(J96/20)</f>
        <v>0.999392770613791548</v>
      </c>
      <c r="L96"/>
      <c r="M96" s="6">
        <f>I96</f>
        <v>34.9505680001537016</v>
      </c>
      <c r="N96">
        <f>E96/K96</f>
        <v>0.999689727220286528</v>
      </c>
      <c r="O96">
        <f>AB96-AG96</f>
        <v>-0.000481723295422999964</v>
      </c>
      <c r="Y96" t="n">
        <v>34.9505680001537016</v>
      </c>
      <c r="Z96" t="n">
        <v>0</v>
      </c>
      <c r="AA96" s="2" t="n">
        <v>34.9505680001537016</v>
      </c>
      <c r="AB96" t="n">
        <v>-0.000725977419790523992</v>
      </c>
      <c r="AD96" t="n">
        <v>34.9505680001537016</v>
      </c>
      <c r="AE96" t="n">
        <v>0</v>
      </c>
      <c r="AF96" t="n">
        <v>34.9505680001537016</v>
      </c>
      <c r="AG96" t="n">
        <v>-0.000244254124368125991</v>
      </c>
    </row>
    <row r="97" spans="1:33">
      <c r="A97" s="2" t="n">
        <v>32.5950166924128979</v>
      </c>
      <c r="B97" t="n">
        <v>-0.00630338565405652052</v>
      </c>
      <c r="C97" s="2" t="n">
        <v>32.5950166924128979</v>
      </c>
      <c r="D97" t="n">
        <v>-0.0080427580194690087</v>
      </c>
      <c r="E97">
        <f>10^(D97/20)</f>
        <v>0.999074471829542254</v>
      </c>
      <c r="G97" s="2" t="n">
        <v>32.5950166924128979</v>
      </c>
      <c r="H97" t="n">
        <v>-0.00832184877538890078</v>
      </c>
      <c r="I97" s="2" t="n">
        <v>32.5950166924128979</v>
      </c>
      <c r="J97" t="n">
        <v>-0.00527593521655651987</v>
      </c>
      <c r="K97">
        <f>10^(J97/20)</f>
        <v>0.999392769949772486</v>
      </c>
      <c r="L97"/>
      <c r="M97" s="6">
        <f>I97</f>
        <v>32.5950166924128979</v>
      </c>
      <c r="N97">
        <f>E97/K97</f>
        <v>0.999681508482148651</v>
      </c>
      <c r="O97">
        <f>AB97-AG97</f>
        <v>-0.000546233595806758743</v>
      </c>
      <c r="Y97" t="n">
        <v>32.5950166924128979</v>
      </c>
      <c r="Z97" t="n">
        <v>0</v>
      </c>
      <c r="AA97" s="2" t="n">
        <v>32.5950166924128979</v>
      </c>
      <c r="AB97" t="n">
        <v>-0.000537970968821355111</v>
      </c>
      <c r="AD97" t="n">
        <v>32.5950166924128979</v>
      </c>
      <c r="AE97" t="n">
        <v>0</v>
      </c>
      <c r="AF97" t="n">
        <v>32.5950166924128979</v>
      </c>
      <c r="AG97" t="n">
        <v>8.262626985758719856E-06</v>
      </c>
    </row>
    <row r="98" spans="1:33">
      <c r="A98" s="2" t="n">
        <v>30.3982216590586987</v>
      </c>
      <c r="B98" t="n">
        <v>-0.00652575817710341965</v>
      </c>
      <c r="C98" s="2" t="n">
        <v>30.3982216590586987</v>
      </c>
      <c r="D98" t="n">
        <v>-0.0082758880271865678</v>
      </c>
      <c r="E98">
        <f>10^(D98/20)</f>
        <v>0.999047656946629381</v>
      </c>
      <c r="G98" s="2" t="n">
        <v>30.3982216590586987</v>
      </c>
      <c r="H98" t="n">
        <v>-0.00858901758117927017</v>
      </c>
      <c r="I98" s="2" t="n">
        <v>30.3982216590586987</v>
      </c>
      <c r="J98" t="n">
        <v>-0.00555623521909368012</v>
      </c>
      <c r="K98">
        <f>10^(J98/20)</f>
        <v>0.999360519335537312</v>
      </c>
      <c r="L98"/>
      <c r="M98" s="6">
        <f>I98</f>
        <v>30.3982216590586987</v>
      </c>
      <c r="N98">
        <f>E98/K98</f>
        <v>0.999686937413621202</v>
      </c>
      <c r="O98">
        <f>AB98-AG98</f>
        <v>-0.000100291539637999949</v>
      </c>
      <c r="Y98" t="n">
        <v>30.3982216590586987</v>
      </c>
      <c r="Z98" t="n">
        <v>0</v>
      </c>
      <c r="AA98" s="2" t="n">
        <v>30.3982216590586987</v>
      </c>
      <c r="AB98" t="n">
        <v>-0.00058944902082202999</v>
      </c>
      <c r="AD98" t="n">
        <v>30.3982216590586987</v>
      </c>
      <c r="AE98" t="n">
        <v>0</v>
      </c>
      <c r="AF98" t="n">
        <v>30.3982216590586987</v>
      </c>
      <c r="AG98" t="n">
        <v>-0.000489157481183610887</v>
      </c>
    </row>
    <row r="99" spans="1:33">
      <c r="A99" s="2" t="n">
        <v>28.3494832585361003</v>
      </c>
      <c r="B99" t="n">
        <v>-0.00683146435512820993</v>
      </c>
      <c r="C99" s="2" t="n">
        <v>28.3494832585361003</v>
      </c>
      <c r="D99" t="n">
        <v>-0.00857754278028244954</v>
      </c>
      <c r="E99">
        <f>10^(D99/20)</f>
        <v>0.999012961336418925</v>
      </c>
      <c r="G99" s="2" t="n">
        <v>28.3494832585361003</v>
      </c>
      <c r="H99" t="n">
        <v>-0.00883067699054135069</v>
      </c>
      <c r="I99" s="2" t="n">
        <v>28.3494832585361003</v>
      </c>
      <c r="J99" t="n">
        <v>-0.00582603548661091963</v>
      </c>
      <c r="K99">
        <f>10^(J99/20)</f>
        <v>0.999329477777427755</v>
      </c>
      <c r="L99"/>
      <c r="M99" s="6">
        <f>I99</f>
        <v>28.3494832585361003</v>
      </c>
      <c r="N99">
        <f>E99/K99</f>
        <v>0.999683271185282152</v>
      </c>
      <c r="O99">
        <f>AB99-AG99</f>
        <v>-0.000865800358757999788</v>
      </c>
      <c r="Y99" t="n">
        <v>28.3494832585361003</v>
      </c>
      <c r="Z99" t="n">
        <v>0</v>
      </c>
      <c r="AA99" s="2" t="n">
        <v>28.3494832585361003</v>
      </c>
      <c r="AB99" t="n">
        <v>-0.00071479211294445113</v>
      </c>
      <c r="AD99" t="n">
        <v>28.3494832585361003</v>
      </c>
      <c r="AE99" t="n">
        <v>0</v>
      </c>
      <c r="AF99" t="n">
        <v>28.3494832585361003</v>
      </c>
      <c r="AG99" t="n">
        <v>0.000151008245814337005</v>
      </c>
    </row>
    <row r="100" spans="1:33">
      <c r="A100" s="2" t="n">
        <v>26.4388229693206007</v>
      </c>
      <c r="B100" t="n">
        <v>-0.00704910609539488053</v>
      </c>
      <c r="C100" s="2" t="n">
        <v>26.4388229693206007</v>
      </c>
      <c r="D100" t="n">
        <v>-0.00881228667553438072</v>
      </c>
      <c r="E100">
        <f>10^(D100/20)</f>
        <v>0.998985962487157586</v>
      </c>
      <c r="G100" s="2" t="n">
        <v>26.4388229693206007</v>
      </c>
      <c r="H100" t="n">
        <v>-0.0089490846558248407</v>
      </c>
      <c r="I100" s="2" t="n">
        <v>26.4388229693206007</v>
      </c>
      <c r="J100" t="n">
        <v>-0.00593504283859232906</v>
      </c>
      <c r="K100">
        <f>10^(J100/20)</f>
        <v>0.999316936335950601</v>
      </c>
      <c r="L100"/>
      <c r="M100" s="6">
        <f>I100</f>
        <v>26.4388229693206007</v>
      </c>
      <c r="N100">
        <f>E100/K100</f>
        <v>0.999668799920467244</v>
      </c>
      <c r="O100">
        <f>AB100-AG100</f>
        <v>-0.00094149157492300013</v>
      </c>
      <c r="Y100" t="n">
        <v>26.4388229693206007</v>
      </c>
      <c r="Z100" t="n">
        <v>0</v>
      </c>
      <c r="AA100" s="2" t="n">
        <v>26.4388229693206007</v>
      </c>
      <c r="AB100" t="n">
        <v>-0.000803254109882800016</v>
      </c>
      <c r="AD100" t="n">
        <v>26.4388229693206007</v>
      </c>
      <c r="AE100" t="n">
        <v>0</v>
      </c>
      <c r="AF100" t="n">
        <v>26.4388229693206007</v>
      </c>
      <c r="AG100" t="n">
        <v>0.000138237465040194984</v>
      </c>
    </row>
    <row r="101" spans="1:33">
      <c r="A101" s="2" t="n">
        <v>24.6569347888413013</v>
      </c>
      <c r="B101" t="n">
        <v>-0.00729760433604311132</v>
      </c>
      <c r="C101" s="2" t="n">
        <v>24.6569347888413013</v>
      </c>
      <c r="D101" t="n">
        <v>-0.00907077274956203006</v>
      </c>
      <c r="E101">
        <f>10^(D101/20)</f>
        <v>0.998956233797528981</v>
      </c>
      <c r="G101" s="2" t="n">
        <v>24.6569347888413013</v>
      </c>
      <c r="H101" t="n">
        <v>-0.00933245101458614101</v>
      </c>
      <c r="I101" s="2" t="n">
        <v>24.6569347888413013</v>
      </c>
      <c r="J101" t="n">
        <v>-0.00632740063974616973</v>
      </c>
      <c r="K101">
        <f>10^(J101/20)</f>
        <v>0.99927179634954264</v>
      </c>
      <c r="L101"/>
      <c r="M101" s="6">
        <f>I101</f>
        <v>24.6569347888413013</v>
      </c>
      <c r="N101">
        <f>E101/K101</f>
        <v>0.999684207486725107</v>
      </c>
      <c r="O101">
        <f>AB101-AG101</f>
        <v>-0.000889239579464999963</v>
      </c>
      <c r="Y101" t="n">
        <v>24.6569347888413013</v>
      </c>
      <c r="Z101" t="n">
        <v>0</v>
      </c>
      <c r="AA101" s="2" t="n">
        <v>24.6569347888413013</v>
      </c>
      <c r="AB101" t="n">
        <v>-0.0010195067806648701</v>
      </c>
      <c r="AD101" t="n">
        <v>24.6569347888413013</v>
      </c>
      <c r="AE101" t="n">
        <v>0</v>
      </c>
      <c r="AF101" t="n">
        <v>24.6569347888413013</v>
      </c>
      <c r="AG101" t="n">
        <v>-0.000130267201200239979</v>
      </c>
    </row>
    <row r="102" spans="1:33">
      <c r="A102" s="2" t="n">
        <v>22.9951399079547016</v>
      </c>
      <c r="B102" t="n">
        <v>-0.00766899961409206021</v>
      </c>
      <c r="C102" s="2" t="n">
        <v>22.9951399079547016</v>
      </c>
      <c r="D102" t="n">
        <v>-0.00942866494541765121</v>
      </c>
      <c r="E102">
        <f>10^(D102/20)</f>
        <v>0.998915073790954366</v>
      </c>
      <c r="G102" s="2" t="n">
        <v>22.9951399079547016</v>
      </c>
      <c r="H102" t="n">
        <v>-0.00966598100758796086</v>
      </c>
      <c r="I102" s="2" t="n">
        <v>22.9951399079547016</v>
      </c>
      <c r="J102" t="n">
        <v>-0.00664700470570693902</v>
      </c>
      <c r="K102">
        <f>10^(J102/20)</f>
        <v>0.999235028042928874</v>
      </c>
      <c r="L102"/>
      <c r="M102" s="6">
        <f>I102</f>
        <v>22.9951399079547016</v>
      </c>
      <c r="N102">
        <f>E102/K102</f>
        <v>0.999679800804620911</v>
      </c>
      <c r="O102">
        <f>AB102-AG102</f>
        <v>-0.000757921133948999959</v>
      </c>
      <c r="Y102" t="n">
        <v>22.9951399079547016</v>
      </c>
      <c r="Z102" t="n">
        <v>0</v>
      </c>
      <c r="AA102" s="2" t="n">
        <v>22.9951399079547016</v>
      </c>
      <c r="AB102" t="n">
        <v>-0.000572232663614614001</v>
      </c>
      <c r="AD102" t="n">
        <v>22.9951399079547016</v>
      </c>
      <c r="AE102" t="n">
        <v>0</v>
      </c>
      <c r="AF102" t="n">
        <v>22.9951399079547016</v>
      </c>
      <c r="AG102" t="n">
        <v>0.000185688470334344995</v>
      </c>
    </row>
    <row r="103" spans="1:33">
      <c r="A103" s="2" t="n">
        <v>21.445344440206501</v>
      </c>
      <c r="B103" t="n">
        <v>-0.00800983867834323959</v>
      </c>
      <c r="C103" s="2" t="n">
        <v>21.445344440206501</v>
      </c>
      <c r="D103" t="n">
        <v>-0.00975877294415866103</v>
      </c>
      <c r="E103">
        <f>10^(D103/20)</f>
        <v>0.998877110657222111</v>
      </c>
      <c r="G103" s="2" t="n">
        <v>21.445344440206501</v>
      </c>
      <c r="H103" t="n">
        <v>-0.0101567748281113013</v>
      </c>
      <c r="I103" s="2" t="n">
        <v>21.445344440206501</v>
      </c>
      <c r="J103" t="n">
        <v>-0.00712510248079425956</v>
      </c>
      <c r="K103">
        <f>10^(J103/20)</f>
        <v>0.999180028622495797</v>
      </c>
      <c r="L103"/>
      <c r="M103" s="6">
        <f>I103</f>
        <v>21.445344440206501</v>
      </c>
      <c r="N103">
        <f>E103/K103</f>
        <v>0.999696833446829736</v>
      </c>
      <c r="O103">
        <f>AB103-AG103</f>
        <v>-0.000682018409217999988</v>
      </c>
      <c r="Y103" t="n">
        <v>21.445344440206501</v>
      </c>
      <c r="Z103" t="n">
        <v>0</v>
      </c>
      <c r="AA103" s="2" t="n">
        <v>21.445344440206501</v>
      </c>
      <c r="AB103" t="n">
        <v>-0.000644146600166096039</v>
      </c>
      <c r="AD103" t="n">
        <v>21.445344440206501</v>
      </c>
      <c r="AE103" t="n">
        <v>0</v>
      </c>
      <c r="AF103" t="n">
        <v>21.445344440206501</v>
      </c>
      <c r="AG103" t="n">
        <v>0.0000378718090521231998</v>
      </c>
    </row>
    <row r="104" spans="1:33">
      <c r="A104" s="2" t="n">
        <v>20</v>
      </c>
      <c r="B104" t="n">
        <v>-0.00858034833373985961</v>
      </c>
      <c r="C104" s="2" t="n">
        <v>20</v>
      </c>
      <c r="D104" t="n">
        <v>-0.0103483641891563982</v>
      </c>
      <c r="E104">
        <f>10^(D104/20)</f>
        <v>0.998809309978622117</v>
      </c>
      <c r="G104" s="2" t="n">
        <v>20</v>
      </c>
      <c r="H104" t="n">
        <v>-0.0104362535836622006</v>
      </c>
      <c r="I104" s="2" t="n">
        <v>20</v>
      </c>
      <c r="J104" t="n">
        <v>-0.00738217964760504053</v>
      </c>
      <c r="K104">
        <f>10^(J104/20)</f>
        <v>0.999150456226302452</v>
      </c>
      <c r="L104"/>
      <c r="M104" s="6">
        <f>I104</f>
        <v>20</v>
      </c>
      <c r="N104">
        <f>E104/K104</f>
        <v>0.99965856368722541</v>
      </c>
      <c r="O104">
        <f>AB104-AG104</f>
        <v>-0.000488148234638000034</v>
      </c>
      <c r="Y104" t="n">
        <v>20</v>
      </c>
      <c r="Z104" t="n">
        <v>0</v>
      </c>
      <c r="AA104" s="2" t="n">
        <v>20</v>
      </c>
      <c r="AB104" t="n">
        <v>-0.000647265354416504035</v>
      </c>
      <c r="AD104" t="n">
        <v>20</v>
      </c>
      <c r="AE104" t="n">
        <v>0</v>
      </c>
      <c r="AF104" t="n">
        <v>20</v>
      </c>
      <c r="AG104" t="n">
        <v>-0.000159117119778783973</v>
      </c>
    </row>
    <row r="106" spans="1:33">
      <c r="A106" s="2" t="s">
        <v>13</v>
      </c>
      <c r="G106" s="2" t="s">
        <v>13</v>
      </c>
      <c r="Y106" t="s">
        <v>14</v>
      </c>
      <c r="AD106" t="s">
        <v>14</v>
      </c>
    </row>
    <row r="107" spans="1:33">
      <c r="A107" s="2" t="s">
        <v>15</v>
      </c>
      <c r="B107" t="s">
        <v>16</v>
      </c>
      <c r="C107" s="2" t="s">
        <v>17</v>
      </c>
      <c r="G107" s="2" t="s">
        <v>15</v>
      </c>
      <c r="H107" t="s">
        <v>16</v>
      </c>
      <c r="I107" s="2" t="s">
        <v>17</v>
      </c>
      <c r="Y107" t="s">
        <v>15</v>
      </c>
      <c r="Z107" t="s">
        <v>16</v>
      </c>
      <c r="AA107" s="2" t="s">
        <v>17</v>
      </c>
      <c r="AD107" t="s">
        <v>15</v>
      </c>
      <c r="AE107" t="s">
        <v>16</v>
      </c>
      <c r="AF107" t="s">
        <v>17</v>
      </c>
    </row>
    <row r="108" spans="1:32">
      <c r="A108" s="2" t="s">
        <v>2</v>
      </c>
      <c r="B108" t="s">
        <v>18</v>
      </c>
      <c r="C108" s="2" t="s">
        <v>18</v>
      </c>
      <c r="G108" s="2" t="s">
        <v>2</v>
      </c>
      <c r="H108" t="s">
        <v>18</v>
      </c>
      <c r="I108" s="2" t="s">
        <v>18</v>
      </c>
      <c r="Y108" t="s">
        <v>2</v>
      </c>
      <c r="Z108" t="s">
        <v>18</v>
      </c>
      <c r="AA108" s="2" t="s">
        <v>18</v>
      </c>
      <c r="AD108" t="s">
        <v>2</v>
      </c>
      <c r="AE108" t="s">
        <v>18</v>
      </c>
      <c r="AF108" t="s">
        <v>18</v>
      </c>
    </row>
    <row r="109" spans="1:32">
      <c r="A109" s="2" t="s">
        <v>4</v>
      </c>
      <c r="B109" t="s">
        <v>18</v>
      </c>
      <c r="C109" s="2" t="s">
        <v>18</v>
      </c>
      <c r="G109" s="2" t="s">
        <v>4</v>
      </c>
      <c r="H109" t="s">
        <v>18</v>
      </c>
      <c r="I109" s="2" t="s">
        <v>18</v>
      </c>
      <c r="Y109" t="s">
        <v>4</v>
      </c>
      <c r="Z109" t="s">
        <v>18</v>
      </c>
      <c r="AA109" s="2" t="s">
        <v>18</v>
      </c>
      <c r="AD109" t="s">
        <v>4</v>
      </c>
      <c r="AE109" t="s">
        <v>18</v>
      </c>
      <c r="AF109" t="s">
        <v>18</v>
      </c>
    </row>
  </sheetData>
  <printOptions>
    <extLst>
      <ext uri="smNativeData">
        <pm:pageFlags xmlns:pm="smNativeData" id="1718654535" printRowHead="0" printColHead="0" printHeadLine="0" printFootLine="0" autoHeightHeader="0" autoHeightFooter="0" fitToPageBoth="0"/>
      </ext>
    </extLst>
  </printOptions>
  <pageMargins left="0.787500" right="0.787500" top="0.787500" bottom="0.787500" header="0.393750" footer="0.393750"/>
  <pageSetup paperSize="9" fitToWidth="0" fitToHeight="1" pageOrder="overThenDown"/>
  <headerFooter>
    <extLst>
      <ext uri="smNativeData">
        <pm:header xmlns:pm="smNativeData" id="1718654535" l="56" r="56" t="56" b="56" borderId="0" fillId="0" vertical="0"/>
        <pm:footer xmlns:pm="smNativeData" id="1718654535" l="56" r="56" t="56" b="56" borderId="0" fillId="0" vertical="2"/>
        <pm:paperBin xmlns:pm="smNativeData" id="1718654535" Id="0" type="0" value="0"/>
        <pm:paperBin xmlns:pm="smNativeData" id="1718654535" Id="1" type="0" value="0"/>
      </ext>
    </extLst>
  </headerFooter>
  <drawing r:id="rId1"/>
  <extLst>
    <ext uri="smNativeData">
      <pm:sheetPrefs xmlns:pm="smNativeData" day="1718654535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Rich</cp:lastModifiedBy>
  <cp:revision>0</cp:revision>
  <dcterms:created xsi:type="dcterms:W3CDTF">2024-06-17T19:34:40Z</dcterms:created>
  <dcterms:modified xsi:type="dcterms:W3CDTF">2024-06-17T20:02:15Z</dcterms:modified>
</cp:coreProperties>
</file>