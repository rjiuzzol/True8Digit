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ublic\Proyectos\EMPIR\2022\IADC\COPA\PTB\Test_Ricardo\Amplifier\Docs\"/>
    </mc:Choice>
  </mc:AlternateContent>
  <xr:revisionPtr revIDLastSave="0" documentId="13_ncr:1_{2D8B9350-31ED-4DA4-9ABE-BEF8C83255CE}" xr6:coauthVersionLast="47" xr6:coauthVersionMax="47" xr10:uidLastSave="{00000000-0000-0000-0000-000000000000}"/>
  <bookViews>
    <workbookView xWindow="28680" yWindow="-120" windowWidth="20730" windowHeight="11040" tabRatio="691" firstSheet="5" activeTab="8" xr2:uid="{00000000-000D-0000-FFFF-FFFF00000000}"/>
  </bookViews>
  <sheets>
    <sheet name="20241007" sheetId="1" r:id="rId1"/>
    <sheet name="20241006" sheetId="2" r:id="rId2"/>
    <sheet name="THD_10062024" sheetId="3" r:id="rId3"/>
    <sheet name="GAIN vs FREQ" sheetId="4" r:id="rId4"/>
    <sheet name="THD vs Input Level 20240612" sheetId="5" r:id="rId5"/>
    <sheet name="THD vs Input Level (Board_1) " sheetId="6" r:id="rId6"/>
    <sheet name="THD+N Sweep" sheetId="7" r:id="rId7"/>
    <sheet name="THD Board 1" sheetId="8" r:id="rId8"/>
    <sheet name="THD_13062024_B#1" sheetId="9" r:id="rId9"/>
    <sheet name="V1 &amp; V2 Comparis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18658177" val="1068" rev="124" revOS="4" revMin="124" revMax="0"/>
      <pm:docPrefs xmlns:pm="smNativeData" id="1718658177" fixedDigits="0" showNotice="1" showFrameBounds="1" autoChart="1" recalcOnPrint="1" recalcOnCopy="1" finalRounding="1" compatTextArt="1" tab="567" useDefinedPrintRange="1" printArea="currentSheet"/>
      <pm:compatibility xmlns:pm="smNativeData" id="1718658177" overlapCells="1"/>
      <pm:defCurrency xmlns:pm="smNativeData" id="1718658177"/>
    </ext>
  </extLst>
</workbook>
</file>

<file path=xl/calcChain.xml><?xml version="1.0" encoding="utf-8"?>
<calcChain xmlns="http://schemas.openxmlformats.org/spreadsheetml/2006/main">
  <c r="R12" i="9" l="1"/>
  <c r="R14" i="9"/>
  <c r="Q15" i="9"/>
  <c r="AE96" i="9"/>
  <c r="Q14" i="9" s="1"/>
  <c r="AE104" i="9"/>
  <c r="AD106" i="9"/>
  <c r="AD105" i="9"/>
  <c r="AD104" i="9"/>
  <c r="AD103" i="9"/>
  <c r="AD102" i="9"/>
  <c r="X104" i="9"/>
  <c r="X105" i="9"/>
  <c r="X106" i="9"/>
  <c r="X103" i="9"/>
  <c r="AD101" i="9"/>
  <c r="AD100" i="9"/>
  <c r="AD99" i="9"/>
  <c r="AD98" i="9"/>
  <c r="AD97" i="9"/>
  <c r="AD96" i="9"/>
  <c r="AD95" i="9"/>
  <c r="AD94" i="9"/>
  <c r="AD93" i="9"/>
  <c r="X95" i="9"/>
  <c r="X96" i="9"/>
  <c r="X97" i="9"/>
  <c r="X98" i="9"/>
  <c r="X99" i="9"/>
  <c r="X100" i="9"/>
  <c r="X101" i="9"/>
  <c r="X94" i="9"/>
  <c r="Q12" i="9"/>
  <c r="AE87" i="9"/>
  <c r="AD92" i="9"/>
  <c r="AD91" i="9"/>
  <c r="AD90" i="9"/>
  <c r="AD89" i="9"/>
  <c r="AD88" i="9"/>
  <c r="AD87" i="9"/>
  <c r="AD86" i="9"/>
  <c r="AD85" i="9"/>
  <c r="AD84" i="9"/>
  <c r="X86" i="9"/>
  <c r="X87" i="9"/>
  <c r="X88" i="9"/>
  <c r="X89" i="9"/>
  <c r="X90" i="9"/>
  <c r="X91" i="9"/>
  <c r="X92" i="9"/>
  <c r="X85" i="9"/>
  <c r="G11" i="10"/>
  <c r="G10" i="10"/>
  <c r="G9" i="10"/>
  <c r="G8" i="10"/>
  <c r="G7" i="10"/>
  <c r="G4" i="10"/>
  <c r="G3" i="10"/>
  <c r="Q6" i="9"/>
  <c r="AD38" i="9"/>
  <c r="AD37" i="9"/>
  <c r="AD36" i="9"/>
  <c r="AD35" i="9"/>
  <c r="AD34" i="9"/>
  <c r="AD33" i="9"/>
  <c r="AD32" i="9"/>
  <c r="AD31" i="9"/>
  <c r="AD30" i="9"/>
  <c r="AE33" i="9" s="1"/>
  <c r="X38" i="9"/>
  <c r="X37" i="9"/>
  <c r="X36" i="9"/>
  <c r="X35" i="9"/>
  <c r="X34" i="9"/>
  <c r="X33" i="9"/>
  <c r="X32" i="9"/>
  <c r="X31" i="9"/>
  <c r="X30" i="9"/>
  <c r="Q5" i="9"/>
  <c r="AD29" i="9"/>
  <c r="AD28" i="9"/>
  <c r="AD27" i="9"/>
  <c r="AD26" i="9"/>
  <c r="AD25" i="9"/>
  <c r="AD24" i="9"/>
  <c r="AD23" i="9"/>
  <c r="AD22" i="9"/>
  <c r="AE24" i="9" s="1"/>
  <c r="AD21" i="9"/>
  <c r="X23" i="9"/>
  <c r="X24" i="9"/>
  <c r="X25" i="9"/>
  <c r="X26" i="9"/>
  <c r="X27" i="9"/>
  <c r="X28" i="9"/>
  <c r="X29" i="9"/>
  <c r="X22" i="9"/>
  <c r="R4" i="9"/>
  <c r="R3" i="9"/>
  <c r="AD47" i="9"/>
  <c r="AD46" i="9"/>
  <c r="AD45" i="9"/>
  <c r="AD44" i="9"/>
  <c r="AD43" i="9"/>
  <c r="AD42" i="9"/>
  <c r="AD41" i="9"/>
  <c r="AD40" i="9"/>
  <c r="AD39" i="9"/>
  <c r="AE42" i="9" s="1"/>
  <c r="Q7" i="9" s="1"/>
  <c r="R7" i="9" s="1"/>
  <c r="X41" i="9"/>
  <c r="X42" i="9"/>
  <c r="X43" i="9"/>
  <c r="X44" i="9"/>
  <c r="X45" i="9"/>
  <c r="X46" i="9"/>
  <c r="X47" i="9"/>
  <c r="X40" i="9"/>
  <c r="AD74" i="9"/>
  <c r="AD73" i="9"/>
  <c r="AD72" i="9"/>
  <c r="AD71" i="9"/>
  <c r="AD70" i="9"/>
  <c r="AD69" i="9"/>
  <c r="AD68" i="9"/>
  <c r="AD67" i="9"/>
  <c r="AD66" i="9"/>
  <c r="X68" i="9"/>
  <c r="X69" i="9"/>
  <c r="X70" i="9"/>
  <c r="X71" i="9"/>
  <c r="X72" i="9"/>
  <c r="X73" i="9"/>
  <c r="X74" i="9"/>
  <c r="X67" i="9"/>
  <c r="Q4" i="9"/>
  <c r="AD20" i="9"/>
  <c r="AD19" i="9"/>
  <c r="AD18" i="9"/>
  <c r="AD17" i="9"/>
  <c r="AD16" i="9"/>
  <c r="AD15" i="9"/>
  <c r="AD14" i="9"/>
  <c r="AD13" i="9"/>
  <c r="AD12" i="9"/>
  <c r="AE15" i="9" s="1"/>
  <c r="X14" i="9"/>
  <c r="X15" i="9"/>
  <c r="X16" i="9"/>
  <c r="X17" i="9"/>
  <c r="X18" i="9"/>
  <c r="X19" i="9"/>
  <c r="X20" i="9"/>
  <c r="X13" i="9"/>
  <c r="AD83" i="9"/>
  <c r="AD82" i="9"/>
  <c r="AD81" i="9"/>
  <c r="AD80" i="9"/>
  <c r="AD79" i="9"/>
  <c r="AD78" i="9"/>
  <c r="AD77" i="9"/>
  <c r="AD76" i="9"/>
  <c r="AD75" i="9"/>
  <c r="AE78" i="9" s="1"/>
  <c r="Q11" i="9" s="1"/>
  <c r="R11" i="9" s="1"/>
  <c r="X77" i="9"/>
  <c r="X78" i="9"/>
  <c r="X79" i="9"/>
  <c r="X80" i="9"/>
  <c r="X81" i="9"/>
  <c r="X82" i="9"/>
  <c r="X83" i="9"/>
  <c r="X76" i="9"/>
  <c r="Q3" i="9"/>
  <c r="AD11" i="9"/>
  <c r="AD10" i="9"/>
  <c r="AD9" i="9"/>
  <c r="AD8" i="9"/>
  <c r="AD7" i="9"/>
  <c r="AD6" i="9"/>
  <c r="AD5" i="9"/>
  <c r="AD4" i="9"/>
  <c r="AD3" i="9"/>
  <c r="AE6" i="9" s="1"/>
  <c r="X9" i="9"/>
  <c r="X10" i="9"/>
  <c r="X11" i="9"/>
  <c r="X8" i="9"/>
  <c r="X7" i="9"/>
  <c r="X6" i="9"/>
  <c r="X5" i="9"/>
  <c r="X4" i="9"/>
  <c r="AD65" i="9"/>
  <c r="AD64" i="9"/>
  <c r="AD63" i="9"/>
  <c r="AD62" i="9"/>
  <c r="AD61" i="9"/>
  <c r="AD60" i="9"/>
  <c r="AD59" i="9"/>
  <c r="AD58" i="9"/>
  <c r="AD57" i="9"/>
  <c r="AE60" i="9" s="1"/>
  <c r="Q9" i="9" s="1"/>
  <c r="R9" i="9" s="1"/>
  <c r="AD56" i="9"/>
  <c r="AD55" i="9"/>
  <c r="AD54" i="9"/>
  <c r="AD53" i="9"/>
  <c r="AD52" i="9"/>
  <c r="AD51" i="9"/>
  <c r="AD50" i="9"/>
  <c r="AD49" i="9"/>
  <c r="AD48" i="9"/>
  <c r="AE51" i="9" s="1"/>
  <c r="Q8" i="9" s="1"/>
  <c r="R8" i="9" s="1"/>
  <c r="J28" i="8"/>
  <c r="J27" i="8"/>
  <c r="J26" i="8"/>
  <c r="J25" i="8"/>
  <c r="J24" i="8"/>
  <c r="J23" i="8"/>
  <c r="J22" i="8"/>
  <c r="J21" i="8"/>
  <c r="J20" i="8"/>
  <c r="J19" i="8"/>
  <c r="Q16" i="8"/>
  <c r="P16" i="8"/>
  <c r="O16" i="8"/>
  <c r="N16" i="8"/>
  <c r="M16" i="8"/>
  <c r="R16" i="8" s="1"/>
  <c r="S16" i="8" s="1"/>
  <c r="K28" i="8" s="1"/>
  <c r="L28" i="8" s="1"/>
  <c r="Q15" i="8"/>
  <c r="P15" i="8"/>
  <c r="O15" i="8"/>
  <c r="N15" i="8"/>
  <c r="M15" i="8"/>
  <c r="R15" i="8" s="1"/>
  <c r="S15" i="8" s="1"/>
  <c r="K27" i="8" s="1"/>
  <c r="L27" i="8" s="1"/>
  <c r="Q14" i="8"/>
  <c r="P14" i="8"/>
  <c r="O14" i="8"/>
  <c r="N14" i="8"/>
  <c r="M14" i="8"/>
  <c r="R14" i="8" s="1"/>
  <c r="S14" i="8" s="1"/>
  <c r="K26" i="8" s="1"/>
  <c r="L26" i="8" s="1"/>
  <c r="Q13" i="8"/>
  <c r="P13" i="8"/>
  <c r="O13" i="8"/>
  <c r="N13" i="8"/>
  <c r="M13" i="8"/>
  <c r="R13" i="8" s="1"/>
  <c r="S13" i="8" s="1"/>
  <c r="K25" i="8" s="1"/>
  <c r="L25" i="8" s="1"/>
  <c r="Q12" i="8"/>
  <c r="P12" i="8"/>
  <c r="O12" i="8"/>
  <c r="N12" i="8"/>
  <c r="M12" i="8"/>
  <c r="R12" i="8" s="1"/>
  <c r="S12" i="8" s="1"/>
  <c r="K24" i="8" s="1"/>
  <c r="L24" i="8" s="1"/>
  <c r="Q11" i="8"/>
  <c r="P11" i="8"/>
  <c r="O11" i="8"/>
  <c r="N11" i="8"/>
  <c r="M11" i="8"/>
  <c r="R11" i="8" s="1"/>
  <c r="S11" i="8" s="1"/>
  <c r="K23" i="8" s="1"/>
  <c r="L23" i="8" s="1"/>
  <c r="Q10" i="8"/>
  <c r="P10" i="8"/>
  <c r="O10" i="8"/>
  <c r="N10" i="8"/>
  <c r="M10" i="8"/>
  <c r="R10" i="8" s="1"/>
  <c r="S10" i="8" s="1"/>
  <c r="K22" i="8" s="1"/>
  <c r="L22" i="8" s="1"/>
  <c r="Q9" i="8"/>
  <c r="P9" i="8"/>
  <c r="O9" i="8"/>
  <c r="N9" i="8"/>
  <c r="M9" i="8"/>
  <c r="R9" i="8" s="1"/>
  <c r="S9" i="8" s="1"/>
  <c r="K21" i="8" s="1"/>
  <c r="L21" i="8" s="1"/>
  <c r="Q8" i="8"/>
  <c r="P8" i="8"/>
  <c r="O8" i="8"/>
  <c r="N8" i="8"/>
  <c r="M8" i="8"/>
  <c r="R8" i="8" s="1"/>
  <c r="S8" i="8" s="1"/>
  <c r="K20" i="8" s="1"/>
  <c r="L20" i="8" s="1"/>
  <c r="Q7" i="8"/>
  <c r="P7" i="8"/>
  <c r="O7" i="8"/>
  <c r="N7" i="8"/>
  <c r="M7" i="8"/>
  <c r="R7" i="8" s="1"/>
  <c r="S7" i="8" s="1"/>
  <c r="K19" i="8" s="1"/>
  <c r="L19" i="8" s="1"/>
  <c r="Y24" i="6"/>
  <c r="X24" i="6"/>
  <c r="W24" i="6"/>
  <c r="V24" i="6"/>
  <c r="U24" i="6"/>
  <c r="Z24" i="6" s="1"/>
  <c r="AA24" i="6" s="1"/>
  <c r="T24" i="6"/>
  <c r="S24" i="6"/>
  <c r="Y23" i="6"/>
  <c r="X23" i="6"/>
  <c r="W23" i="6"/>
  <c r="V23" i="6"/>
  <c r="U23" i="6"/>
  <c r="Z23" i="6" s="1"/>
  <c r="AA23" i="6" s="1"/>
  <c r="T23" i="6"/>
  <c r="S23" i="6"/>
  <c r="Y22" i="6"/>
  <c r="X22" i="6"/>
  <c r="W22" i="6"/>
  <c r="V22" i="6"/>
  <c r="U22" i="6"/>
  <c r="Z22" i="6" s="1"/>
  <c r="AA22" i="6" s="1"/>
  <c r="T22" i="6"/>
  <c r="S22" i="6"/>
  <c r="Y21" i="6"/>
  <c r="X21" i="6"/>
  <c r="W21" i="6"/>
  <c r="V21" i="6"/>
  <c r="U21" i="6"/>
  <c r="Z21" i="6" s="1"/>
  <c r="AA21" i="6" s="1"/>
  <c r="T21" i="6"/>
  <c r="X20" i="6"/>
  <c r="W20" i="6"/>
  <c r="V20" i="6"/>
  <c r="U20" i="6"/>
  <c r="Z20" i="6" s="1"/>
  <c r="AA20" i="6" s="1"/>
  <c r="T20" i="6"/>
  <c r="X19" i="6"/>
  <c r="W19" i="6"/>
  <c r="V19" i="6"/>
  <c r="U19" i="6"/>
  <c r="Z19" i="6" s="1"/>
  <c r="AA19" i="6" s="1"/>
  <c r="T19" i="6"/>
  <c r="X18" i="6"/>
  <c r="W18" i="6"/>
  <c r="V18" i="6"/>
  <c r="U18" i="6"/>
  <c r="Z18" i="6" s="1"/>
  <c r="AA18" i="6" s="1"/>
  <c r="T18" i="6"/>
  <c r="S18" i="6"/>
  <c r="Y17" i="6"/>
  <c r="X17" i="6"/>
  <c r="W17" i="6"/>
  <c r="V17" i="6"/>
  <c r="U17" i="6"/>
  <c r="Z17" i="6" s="1"/>
  <c r="AA17" i="6" s="1"/>
  <c r="T17" i="6"/>
  <c r="Y16" i="6"/>
  <c r="X16" i="6"/>
  <c r="W16" i="6"/>
  <c r="V16" i="6"/>
  <c r="U16" i="6"/>
  <c r="Z16" i="6" s="1"/>
  <c r="AA16" i="6" s="1"/>
  <c r="T16" i="6"/>
  <c r="Y15" i="6"/>
  <c r="X15" i="6"/>
  <c r="W15" i="6"/>
  <c r="V15" i="6"/>
  <c r="U15" i="6"/>
  <c r="Z15" i="6" s="1"/>
  <c r="AA15" i="6" s="1"/>
  <c r="T15" i="6"/>
  <c r="S15" i="6"/>
  <c r="Y14" i="6"/>
  <c r="X14" i="6"/>
  <c r="W14" i="6"/>
  <c r="V14" i="6"/>
  <c r="U14" i="6"/>
  <c r="Z14" i="6" s="1"/>
  <c r="AA14" i="6" s="1"/>
  <c r="T14" i="6"/>
  <c r="Y13" i="6"/>
  <c r="X13" i="6"/>
  <c r="W13" i="6"/>
  <c r="V13" i="6"/>
  <c r="U13" i="6"/>
  <c r="Z13" i="6" s="1"/>
  <c r="AA13" i="6" s="1"/>
  <c r="T13" i="6"/>
  <c r="Y12" i="6"/>
  <c r="X12" i="6"/>
  <c r="W12" i="6"/>
  <c r="V12" i="6"/>
  <c r="U12" i="6"/>
  <c r="Z12" i="6" s="1"/>
  <c r="AA12" i="6" s="1"/>
  <c r="T12" i="6"/>
  <c r="Y11" i="6"/>
  <c r="X11" i="6"/>
  <c r="W11" i="6"/>
  <c r="V11" i="6"/>
  <c r="U11" i="6"/>
  <c r="Z11" i="6" s="1"/>
  <c r="AA11" i="6" s="1"/>
  <c r="T11" i="6"/>
  <c r="Y10" i="6"/>
  <c r="X10" i="6"/>
  <c r="W10" i="6"/>
  <c r="V10" i="6"/>
  <c r="U10" i="6"/>
  <c r="Z10" i="6" s="1"/>
  <c r="AA10" i="6" s="1"/>
  <c r="T10" i="6"/>
  <c r="AS9" i="6"/>
  <c r="AR9" i="6"/>
  <c r="AQ9" i="6"/>
  <c r="AP9" i="6"/>
  <c r="AO9" i="6"/>
  <c r="AT9" i="6" s="1"/>
  <c r="AU9" i="6" s="1"/>
  <c r="AN9" i="6"/>
  <c r="Y9" i="6"/>
  <c r="X9" i="6"/>
  <c r="W9" i="6"/>
  <c r="V9" i="6"/>
  <c r="U9" i="6"/>
  <c r="Z9" i="6" s="1"/>
  <c r="AA9" i="6" s="1"/>
  <c r="T9" i="6"/>
  <c r="AS8" i="6"/>
  <c r="AR8" i="6"/>
  <c r="AQ8" i="6"/>
  <c r="AP8" i="6"/>
  <c r="AO8" i="6"/>
  <c r="AT8" i="6" s="1"/>
  <c r="AU8" i="6" s="1"/>
  <c r="AN8" i="6"/>
  <c r="Y8" i="6"/>
  <c r="X8" i="6"/>
  <c r="W8" i="6"/>
  <c r="V8" i="6"/>
  <c r="U8" i="6"/>
  <c r="Z8" i="6" s="1"/>
  <c r="AA8" i="6" s="1"/>
  <c r="T8" i="6"/>
  <c r="AS7" i="6"/>
  <c r="AR7" i="6"/>
  <c r="AQ7" i="6"/>
  <c r="AP7" i="6"/>
  <c r="AO7" i="6"/>
  <c r="AT7" i="6" s="1"/>
  <c r="AU7" i="6" s="1"/>
  <c r="AN7" i="6"/>
  <c r="Y7" i="6"/>
  <c r="X7" i="6"/>
  <c r="W7" i="6"/>
  <c r="V7" i="6"/>
  <c r="U7" i="6"/>
  <c r="Z7" i="6" s="1"/>
  <c r="AA7" i="6" s="1"/>
  <c r="T7" i="6"/>
  <c r="S7" i="6"/>
  <c r="Y6" i="6"/>
  <c r="X6" i="6"/>
  <c r="W6" i="6"/>
  <c r="V6" i="6"/>
  <c r="U6" i="6"/>
  <c r="Z6" i="6" s="1"/>
  <c r="AA6" i="6" s="1"/>
  <c r="AS5" i="6"/>
  <c r="AR5" i="6"/>
  <c r="AQ5" i="6"/>
  <c r="AP5" i="6"/>
  <c r="AO5" i="6"/>
  <c r="AT5" i="6" s="1"/>
  <c r="AU5" i="6" s="1"/>
  <c r="AN5" i="6"/>
  <c r="Y5" i="6"/>
  <c r="X5" i="6"/>
  <c r="W5" i="6"/>
  <c r="V5" i="6"/>
  <c r="U5" i="6"/>
  <c r="Z5" i="6" s="1"/>
  <c r="AA5" i="6" s="1"/>
  <c r="Y4" i="6"/>
  <c r="X4" i="6"/>
  <c r="W4" i="6"/>
  <c r="V4" i="6"/>
  <c r="U4" i="6"/>
  <c r="Z4" i="6" s="1"/>
  <c r="AA4" i="6" s="1"/>
  <c r="AS3" i="6"/>
  <c r="AR3" i="6"/>
  <c r="AQ3" i="6"/>
  <c r="AP3" i="6"/>
  <c r="AO3" i="6"/>
  <c r="AT3" i="6" s="1"/>
  <c r="AU3" i="6" s="1"/>
  <c r="AN3" i="6"/>
  <c r="Y3" i="6"/>
  <c r="X3" i="6"/>
  <c r="W3" i="6"/>
  <c r="V3" i="6"/>
  <c r="U3" i="6"/>
  <c r="Z3" i="6" s="1"/>
  <c r="AA3" i="6" s="1"/>
  <c r="S3" i="6"/>
  <c r="Q28" i="5"/>
  <c r="P28" i="5"/>
  <c r="O28" i="5"/>
  <c r="N28" i="5"/>
  <c r="AS27" i="5"/>
  <c r="AR27" i="5"/>
  <c r="AQ27" i="5"/>
  <c r="AP27" i="5"/>
  <c r="AO27" i="5"/>
  <c r="AT27" i="5" s="1"/>
  <c r="AU27" i="5" s="1"/>
  <c r="AN27" i="5"/>
  <c r="Y27" i="5"/>
  <c r="X27" i="5"/>
  <c r="W27" i="5"/>
  <c r="V27" i="5"/>
  <c r="U27" i="5"/>
  <c r="Z27" i="5" s="1"/>
  <c r="AA27" i="5" s="1"/>
  <c r="T27" i="5"/>
  <c r="Q26" i="5"/>
  <c r="P26" i="5"/>
  <c r="O26" i="5"/>
  <c r="N26" i="5"/>
  <c r="Y25" i="5"/>
  <c r="X25" i="5"/>
  <c r="W25" i="5"/>
  <c r="V25" i="5"/>
  <c r="U25" i="5"/>
  <c r="Z25" i="5" s="1"/>
  <c r="AA25" i="5" s="1"/>
  <c r="T25" i="5"/>
  <c r="Q24" i="5"/>
  <c r="P24" i="5"/>
  <c r="O24" i="5"/>
  <c r="N24" i="5"/>
  <c r="AS23" i="5"/>
  <c r="AR23" i="5"/>
  <c r="AQ23" i="5"/>
  <c r="AP23" i="5"/>
  <c r="AO23" i="5"/>
  <c r="AT23" i="5" s="1"/>
  <c r="AU23" i="5" s="1"/>
  <c r="AN23" i="5"/>
  <c r="Y23" i="5"/>
  <c r="X23" i="5"/>
  <c r="W23" i="5"/>
  <c r="V23" i="5"/>
  <c r="U23" i="5"/>
  <c r="Z23" i="5" s="1"/>
  <c r="AA23" i="5" s="1"/>
  <c r="T23" i="5"/>
  <c r="Q22" i="5"/>
  <c r="P22" i="5"/>
  <c r="O22" i="5"/>
  <c r="N22" i="5"/>
  <c r="Y21" i="5"/>
  <c r="X21" i="5"/>
  <c r="W21" i="5"/>
  <c r="V21" i="5"/>
  <c r="U21" i="5"/>
  <c r="Z21" i="5" s="1"/>
  <c r="AA21" i="5" s="1"/>
  <c r="T21" i="5"/>
  <c r="Q20" i="5"/>
  <c r="P20" i="5"/>
  <c r="O20" i="5"/>
  <c r="N20" i="5"/>
  <c r="AS19" i="5"/>
  <c r="AR19" i="5"/>
  <c r="AQ19" i="5"/>
  <c r="AP19" i="5"/>
  <c r="AO19" i="5"/>
  <c r="AT19" i="5" s="1"/>
  <c r="AU19" i="5" s="1"/>
  <c r="AN19" i="5"/>
  <c r="Y19" i="5"/>
  <c r="X19" i="5"/>
  <c r="W19" i="5"/>
  <c r="V19" i="5"/>
  <c r="U19" i="5"/>
  <c r="Z19" i="5" s="1"/>
  <c r="AA19" i="5" s="1"/>
  <c r="T19" i="5"/>
  <c r="Q18" i="5"/>
  <c r="P18" i="5"/>
  <c r="O18" i="5"/>
  <c r="N18" i="5"/>
  <c r="Y17" i="5"/>
  <c r="X17" i="5"/>
  <c r="W17" i="5"/>
  <c r="V17" i="5"/>
  <c r="U17" i="5"/>
  <c r="Z17" i="5" s="1"/>
  <c r="AA17" i="5" s="1"/>
  <c r="Q16" i="5"/>
  <c r="P16" i="5"/>
  <c r="O16" i="5"/>
  <c r="N16" i="5"/>
  <c r="AS15" i="5"/>
  <c r="AR15" i="5"/>
  <c r="AQ15" i="5"/>
  <c r="AP15" i="5"/>
  <c r="AO15" i="5"/>
  <c r="AT15" i="5" s="1"/>
  <c r="AU15" i="5" s="1"/>
  <c r="AN15" i="5"/>
  <c r="Z15" i="5"/>
  <c r="AA15" i="5" s="1"/>
  <c r="Y15" i="5"/>
  <c r="X15" i="5"/>
  <c r="W15" i="5"/>
  <c r="V15" i="5"/>
  <c r="U15" i="5"/>
  <c r="Q14" i="5"/>
  <c r="P14" i="5"/>
  <c r="O14" i="5"/>
  <c r="N14" i="5"/>
  <c r="Y13" i="5"/>
  <c r="X13" i="5"/>
  <c r="W13" i="5"/>
  <c r="V13" i="5"/>
  <c r="U13" i="5"/>
  <c r="Z13" i="5" s="1"/>
  <c r="AA13" i="5" s="1"/>
  <c r="Q12" i="5"/>
  <c r="P12" i="5"/>
  <c r="O12" i="5"/>
  <c r="N12" i="5"/>
  <c r="AS11" i="5"/>
  <c r="AR11" i="5"/>
  <c r="AQ11" i="5"/>
  <c r="AP11" i="5"/>
  <c r="AO11" i="5"/>
  <c r="AT11" i="5" s="1"/>
  <c r="AU11" i="5" s="1"/>
  <c r="AN11" i="5"/>
  <c r="Y11" i="5"/>
  <c r="X11" i="5"/>
  <c r="W11" i="5"/>
  <c r="V11" i="5"/>
  <c r="U11" i="5"/>
  <c r="Z11" i="5" s="1"/>
  <c r="AA11" i="5" s="1"/>
  <c r="Q10" i="5"/>
  <c r="P10" i="5"/>
  <c r="O10" i="5"/>
  <c r="N10" i="5"/>
  <c r="Y9" i="5"/>
  <c r="X9" i="5"/>
  <c r="W9" i="5"/>
  <c r="V9" i="5"/>
  <c r="U9" i="5"/>
  <c r="Z9" i="5" s="1"/>
  <c r="AA9" i="5" s="1"/>
  <c r="Q8" i="5"/>
  <c r="P8" i="5"/>
  <c r="O8" i="5"/>
  <c r="N8" i="5"/>
  <c r="Y7" i="5"/>
  <c r="X7" i="5"/>
  <c r="W7" i="5"/>
  <c r="V7" i="5"/>
  <c r="U7" i="5"/>
  <c r="Z7" i="5" s="1"/>
  <c r="AA7" i="5" s="1"/>
  <c r="Q6" i="5"/>
  <c r="P6" i="5"/>
  <c r="O6" i="5"/>
  <c r="N6" i="5"/>
  <c r="Y5" i="5"/>
  <c r="X5" i="5"/>
  <c r="W5" i="5"/>
  <c r="V5" i="5"/>
  <c r="U5" i="5"/>
  <c r="Z5" i="5" s="1"/>
  <c r="AA5" i="5" s="1"/>
  <c r="Y3" i="5"/>
  <c r="X3" i="5"/>
  <c r="W3" i="5"/>
  <c r="V3" i="5"/>
  <c r="U3" i="5"/>
  <c r="Z3" i="5" s="1"/>
  <c r="AA3" i="5" s="1"/>
  <c r="T3" i="5"/>
  <c r="P504" i="4"/>
  <c r="N504" i="4"/>
  <c r="M504" i="4"/>
  <c r="O504" i="4" s="1"/>
  <c r="P503" i="4"/>
  <c r="N503" i="4"/>
  <c r="M503" i="4"/>
  <c r="O503" i="4" s="1"/>
  <c r="P502" i="4"/>
  <c r="N502" i="4"/>
  <c r="M502" i="4"/>
  <c r="O502" i="4" s="1"/>
  <c r="P501" i="4"/>
  <c r="N501" i="4"/>
  <c r="M501" i="4"/>
  <c r="O501" i="4" s="1"/>
  <c r="P500" i="4"/>
  <c r="N500" i="4"/>
  <c r="M500" i="4"/>
  <c r="O500" i="4" s="1"/>
  <c r="P499" i="4"/>
  <c r="N499" i="4"/>
  <c r="M499" i="4"/>
  <c r="O499" i="4" s="1"/>
  <c r="P498" i="4"/>
  <c r="N498" i="4"/>
  <c r="M498" i="4"/>
  <c r="O498" i="4" s="1"/>
  <c r="P497" i="4"/>
  <c r="N497" i="4"/>
  <c r="M497" i="4"/>
  <c r="O497" i="4" s="1"/>
  <c r="P496" i="4"/>
  <c r="N496" i="4"/>
  <c r="M496" i="4"/>
  <c r="O496" i="4" s="1"/>
  <c r="P495" i="4"/>
  <c r="N495" i="4"/>
  <c r="M495" i="4"/>
  <c r="O495" i="4" s="1"/>
  <c r="P494" i="4"/>
  <c r="N494" i="4"/>
  <c r="M494" i="4"/>
  <c r="O494" i="4" s="1"/>
  <c r="P493" i="4"/>
  <c r="N493" i="4"/>
  <c r="M493" i="4"/>
  <c r="O493" i="4" s="1"/>
  <c r="P492" i="4"/>
  <c r="N492" i="4"/>
  <c r="M492" i="4"/>
  <c r="O492" i="4" s="1"/>
  <c r="P491" i="4"/>
  <c r="N491" i="4"/>
  <c r="M491" i="4"/>
  <c r="O491" i="4" s="1"/>
  <c r="P490" i="4"/>
  <c r="N490" i="4"/>
  <c r="M490" i="4"/>
  <c r="O490" i="4" s="1"/>
  <c r="P489" i="4"/>
  <c r="N489" i="4"/>
  <c r="M489" i="4"/>
  <c r="O489" i="4" s="1"/>
  <c r="P488" i="4"/>
  <c r="N488" i="4"/>
  <c r="M488" i="4"/>
  <c r="O488" i="4" s="1"/>
  <c r="P487" i="4"/>
  <c r="N487" i="4"/>
  <c r="M487" i="4"/>
  <c r="O487" i="4" s="1"/>
  <c r="P486" i="4"/>
  <c r="N486" i="4"/>
  <c r="M486" i="4"/>
  <c r="O486" i="4" s="1"/>
  <c r="P485" i="4"/>
  <c r="N485" i="4"/>
  <c r="M485" i="4"/>
  <c r="O485" i="4" s="1"/>
  <c r="P484" i="4"/>
  <c r="N484" i="4"/>
  <c r="M484" i="4"/>
  <c r="O484" i="4" s="1"/>
  <c r="P483" i="4"/>
  <c r="N483" i="4"/>
  <c r="M483" i="4"/>
  <c r="O483" i="4" s="1"/>
  <c r="P482" i="4"/>
  <c r="N482" i="4"/>
  <c r="M482" i="4"/>
  <c r="O482" i="4" s="1"/>
  <c r="P481" i="4"/>
  <c r="N481" i="4"/>
  <c r="M481" i="4"/>
  <c r="O481" i="4" s="1"/>
  <c r="P480" i="4"/>
  <c r="N480" i="4"/>
  <c r="M480" i="4"/>
  <c r="O480" i="4" s="1"/>
  <c r="P479" i="4"/>
  <c r="N479" i="4"/>
  <c r="M479" i="4"/>
  <c r="O479" i="4" s="1"/>
  <c r="P478" i="4"/>
  <c r="N478" i="4"/>
  <c r="M478" i="4"/>
  <c r="O478" i="4" s="1"/>
  <c r="P477" i="4"/>
  <c r="N477" i="4"/>
  <c r="M477" i="4"/>
  <c r="O477" i="4" s="1"/>
  <c r="P476" i="4"/>
  <c r="N476" i="4"/>
  <c r="M476" i="4"/>
  <c r="O476" i="4" s="1"/>
  <c r="P475" i="4"/>
  <c r="N475" i="4"/>
  <c r="M475" i="4"/>
  <c r="O475" i="4" s="1"/>
  <c r="P474" i="4"/>
  <c r="N474" i="4"/>
  <c r="M474" i="4"/>
  <c r="O474" i="4" s="1"/>
  <c r="P473" i="4"/>
  <c r="N473" i="4"/>
  <c r="M473" i="4"/>
  <c r="O473" i="4" s="1"/>
  <c r="P472" i="4"/>
  <c r="N472" i="4"/>
  <c r="M472" i="4"/>
  <c r="O472" i="4" s="1"/>
  <c r="P471" i="4"/>
  <c r="N471" i="4"/>
  <c r="M471" i="4"/>
  <c r="O471" i="4" s="1"/>
  <c r="P470" i="4"/>
  <c r="N470" i="4"/>
  <c r="M470" i="4"/>
  <c r="O470" i="4" s="1"/>
  <c r="P469" i="4"/>
  <c r="N469" i="4"/>
  <c r="O469" i="4" s="1"/>
  <c r="M469" i="4"/>
  <c r="P468" i="4"/>
  <c r="N468" i="4"/>
  <c r="M468" i="4"/>
  <c r="O468" i="4" s="1"/>
  <c r="P467" i="4"/>
  <c r="N467" i="4"/>
  <c r="M467" i="4"/>
  <c r="O467" i="4" s="1"/>
  <c r="P466" i="4"/>
  <c r="N466" i="4"/>
  <c r="M466" i="4"/>
  <c r="O466" i="4" s="1"/>
  <c r="P465" i="4"/>
  <c r="N465" i="4"/>
  <c r="M465" i="4"/>
  <c r="O465" i="4" s="1"/>
  <c r="P464" i="4"/>
  <c r="N464" i="4"/>
  <c r="M464" i="4"/>
  <c r="O464" i="4" s="1"/>
  <c r="P463" i="4"/>
  <c r="N463" i="4"/>
  <c r="M463" i="4"/>
  <c r="O463" i="4" s="1"/>
  <c r="P462" i="4"/>
  <c r="N462" i="4"/>
  <c r="M462" i="4"/>
  <c r="O462" i="4" s="1"/>
  <c r="P461" i="4"/>
  <c r="N461" i="4"/>
  <c r="M461" i="4"/>
  <c r="O461" i="4" s="1"/>
  <c r="P460" i="4"/>
  <c r="N460" i="4"/>
  <c r="M460" i="4"/>
  <c r="O460" i="4" s="1"/>
  <c r="P459" i="4"/>
  <c r="N459" i="4"/>
  <c r="M459" i="4"/>
  <c r="O459" i="4" s="1"/>
  <c r="P458" i="4"/>
  <c r="N458" i="4"/>
  <c r="M458" i="4"/>
  <c r="O458" i="4" s="1"/>
  <c r="P457" i="4"/>
  <c r="N457" i="4"/>
  <c r="M457" i="4"/>
  <c r="O457" i="4" s="1"/>
  <c r="P456" i="4"/>
  <c r="N456" i="4"/>
  <c r="M456" i="4"/>
  <c r="O456" i="4" s="1"/>
  <c r="P455" i="4"/>
  <c r="N455" i="4"/>
  <c r="M455" i="4"/>
  <c r="O455" i="4" s="1"/>
  <c r="P454" i="4"/>
  <c r="N454" i="4"/>
  <c r="M454" i="4"/>
  <c r="O454" i="4" s="1"/>
  <c r="P453" i="4"/>
  <c r="N453" i="4"/>
  <c r="M453" i="4"/>
  <c r="O453" i="4" s="1"/>
  <c r="P452" i="4"/>
  <c r="N452" i="4"/>
  <c r="M452" i="4"/>
  <c r="O452" i="4" s="1"/>
  <c r="P451" i="4"/>
  <c r="N451" i="4"/>
  <c r="M451" i="4"/>
  <c r="O451" i="4" s="1"/>
  <c r="P450" i="4"/>
  <c r="N450" i="4"/>
  <c r="M450" i="4"/>
  <c r="O450" i="4" s="1"/>
  <c r="P449" i="4"/>
  <c r="N449" i="4"/>
  <c r="M449" i="4"/>
  <c r="O449" i="4" s="1"/>
  <c r="P448" i="4"/>
  <c r="N448" i="4"/>
  <c r="M448" i="4"/>
  <c r="O448" i="4" s="1"/>
  <c r="P447" i="4"/>
  <c r="N447" i="4"/>
  <c r="M447" i="4"/>
  <c r="O447" i="4" s="1"/>
  <c r="P446" i="4"/>
  <c r="N446" i="4"/>
  <c r="M446" i="4"/>
  <c r="O446" i="4" s="1"/>
  <c r="P445" i="4"/>
  <c r="N445" i="4"/>
  <c r="M445" i="4"/>
  <c r="O445" i="4" s="1"/>
  <c r="P444" i="4"/>
  <c r="N444" i="4"/>
  <c r="M444" i="4"/>
  <c r="O444" i="4" s="1"/>
  <c r="P443" i="4"/>
  <c r="N443" i="4"/>
  <c r="M443" i="4"/>
  <c r="O443" i="4" s="1"/>
  <c r="P442" i="4"/>
  <c r="N442" i="4"/>
  <c r="M442" i="4"/>
  <c r="O442" i="4" s="1"/>
  <c r="P441" i="4"/>
  <c r="N441" i="4"/>
  <c r="M441" i="4"/>
  <c r="O441" i="4" s="1"/>
  <c r="P440" i="4"/>
  <c r="N440" i="4"/>
  <c r="M440" i="4"/>
  <c r="O440" i="4" s="1"/>
  <c r="P439" i="4"/>
  <c r="N439" i="4"/>
  <c r="M439" i="4"/>
  <c r="O439" i="4" s="1"/>
  <c r="P438" i="4"/>
  <c r="N438" i="4"/>
  <c r="M438" i="4"/>
  <c r="O438" i="4" s="1"/>
  <c r="P437" i="4"/>
  <c r="N437" i="4"/>
  <c r="M437" i="4"/>
  <c r="O437" i="4" s="1"/>
  <c r="P436" i="4"/>
  <c r="N436" i="4"/>
  <c r="M436" i="4"/>
  <c r="O436" i="4" s="1"/>
  <c r="P435" i="4"/>
  <c r="N435" i="4"/>
  <c r="M435" i="4"/>
  <c r="O435" i="4" s="1"/>
  <c r="P434" i="4"/>
  <c r="N434" i="4"/>
  <c r="M434" i="4"/>
  <c r="O434" i="4" s="1"/>
  <c r="P433" i="4"/>
  <c r="N433" i="4"/>
  <c r="M433" i="4"/>
  <c r="O433" i="4" s="1"/>
  <c r="P432" i="4"/>
  <c r="N432" i="4"/>
  <c r="M432" i="4"/>
  <c r="O432" i="4" s="1"/>
  <c r="P431" i="4"/>
  <c r="N431" i="4"/>
  <c r="M431" i="4"/>
  <c r="O431" i="4" s="1"/>
  <c r="P430" i="4"/>
  <c r="N430" i="4"/>
  <c r="M430" i="4"/>
  <c r="O430" i="4" s="1"/>
  <c r="P429" i="4"/>
  <c r="N429" i="4"/>
  <c r="M429" i="4"/>
  <c r="O429" i="4" s="1"/>
  <c r="P428" i="4"/>
  <c r="N428" i="4"/>
  <c r="M428" i="4"/>
  <c r="O428" i="4" s="1"/>
  <c r="P427" i="4"/>
  <c r="N427" i="4"/>
  <c r="M427" i="4"/>
  <c r="O427" i="4" s="1"/>
  <c r="P426" i="4"/>
  <c r="N426" i="4"/>
  <c r="M426" i="4"/>
  <c r="O426" i="4" s="1"/>
  <c r="P425" i="4"/>
  <c r="N425" i="4"/>
  <c r="M425" i="4"/>
  <c r="O425" i="4" s="1"/>
  <c r="P424" i="4"/>
  <c r="N424" i="4"/>
  <c r="M424" i="4"/>
  <c r="O424" i="4" s="1"/>
  <c r="P423" i="4"/>
  <c r="N423" i="4"/>
  <c r="M423" i="4"/>
  <c r="O423" i="4" s="1"/>
  <c r="P422" i="4"/>
  <c r="N422" i="4"/>
  <c r="M422" i="4"/>
  <c r="O422" i="4" s="1"/>
  <c r="P421" i="4"/>
  <c r="N421" i="4"/>
  <c r="M421" i="4"/>
  <c r="O421" i="4" s="1"/>
  <c r="P420" i="4"/>
  <c r="N420" i="4"/>
  <c r="M420" i="4"/>
  <c r="O420" i="4" s="1"/>
  <c r="P419" i="4"/>
  <c r="N419" i="4"/>
  <c r="M419" i="4"/>
  <c r="O419" i="4" s="1"/>
  <c r="P418" i="4"/>
  <c r="N418" i="4"/>
  <c r="M418" i="4"/>
  <c r="O418" i="4" s="1"/>
  <c r="P417" i="4"/>
  <c r="N417" i="4"/>
  <c r="M417" i="4"/>
  <c r="O417" i="4" s="1"/>
  <c r="P416" i="4"/>
  <c r="N416" i="4"/>
  <c r="M416" i="4"/>
  <c r="O416" i="4" s="1"/>
  <c r="P415" i="4"/>
  <c r="O415" i="4"/>
  <c r="N415" i="4"/>
  <c r="M415" i="4"/>
  <c r="P414" i="4"/>
  <c r="N414" i="4"/>
  <c r="M414" i="4"/>
  <c r="O414" i="4" s="1"/>
  <c r="P413" i="4"/>
  <c r="N413" i="4"/>
  <c r="M413" i="4"/>
  <c r="O413" i="4" s="1"/>
  <c r="P412" i="4"/>
  <c r="N412" i="4"/>
  <c r="M412" i="4"/>
  <c r="O412" i="4" s="1"/>
  <c r="P411" i="4"/>
  <c r="N411" i="4"/>
  <c r="M411" i="4"/>
  <c r="O411" i="4" s="1"/>
  <c r="P410" i="4"/>
  <c r="N410" i="4"/>
  <c r="M410" i="4"/>
  <c r="O410" i="4" s="1"/>
  <c r="P409" i="4"/>
  <c r="N409" i="4"/>
  <c r="M409" i="4"/>
  <c r="O409" i="4" s="1"/>
  <c r="P408" i="4"/>
  <c r="N408" i="4"/>
  <c r="M408" i="4"/>
  <c r="O408" i="4" s="1"/>
  <c r="P407" i="4"/>
  <c r="N407" i="4"/>
  <c r="M407" i="4"/>
  <c r="O407" i="4" s="1"/>
  <c r="P406" i="4"/>
  <c r="N406" i="4"/>
  <c r="M406" i="4"/>
  <c r="O406" i="4" s="1"/>
  <c r="P405" i="4"/>
  <c r="N405" i="4"/>
  <c r="M405" i="4"/>
  <c r="O405" i="4" s="1"/>
  <c r="P404" i="4"/>
  <c r="N404" i="4"/>
  <c r="M404" i="4"/>
  <c r="O404" i="4" s="1"/>
  <c r="P403" i="4"/>
  <c r="N403" i="4"/>
  <c r="M403" i="4"/>
  <c r="O403" i="4" s="1"/>
  <c r="P402" i="4"/>
  <c r="N402" i="4"/>
  <c r="M402" i="4"/>
  <c r="O402" i="4" s="1"/>
  <c r="P401" i="4"/>
  <c r="N401" i="4"/>
  <c r="M401" i="4"/>
  <c r="O401" i="4" s="1"/>
  <c r="P400" i="4"/>
  <c r="N400" i="4"/>
  <c r="M400" i="4"/>
  <c r="O400" i="4" s="1"/>
  <c r="P399" i="4"/>
  <c r="N399" i="4"/>
  <c r="M399" i="4"/>
  <c r="O399" i="4" s="1"/>
  <c r="P398" i="4"/>
  <c r="N398" i="4"/>
  <c r="M398" i="4"/>
  <c r="O398" i="4" s="1"/>
  <c r="P397" i="4"/>
  <c r="N397" i="4"/>
  <c r="M397" i="4"/>
  <c r="O397" i="4" s="1"/>
  <c r="P396" i="4"/>
  <c r="N396" i="4"/>
  <c r="M396" i="4"/>
  <c r="O396" i="4" s="1"/>
  <c r="P395" i="4"/>
  <c r="N395" i="4"/>
  <c r="M395" i="4"/>
  <c r="O395" i="4" s="1"/>
  <c r="P394" i="4"/>
  <c r="N394" i="4"/>
  <c r="M394" i="4"/>
  <c r="O394" i="4" s="1"/>
  <c r="P393" i="4"/>
  <c r="N393" i="4"/>
  <c r="M393" i="4"/>
  <c r="O393" i="4" s="1"/>
  <c r="P392" i="4"/>
  <c r="N392" i="4"/>
  <c r="M392" i="4"/>
  <c r="O392" i="4" s="1"/>
  <c r="P391" i="4"/>
  <c r="N391" i="4"/>
  <c r="M391" i="4"/>
  <c r="O391" i="4" s="1"/>
  <c r="P390" i="4"/>
  <c r="N390" i="4"/>
  <c r="M390" i="4"/>
  <c r="O390" i="4" s="1"/>
  <c r="P389" i="4"/>
  <c r="N389" i="4"/>
  <c r="M389" i="4"/>
  <c r="O389" i="4" s="1"/>
  <c r="P388" i="4"/>
  <c r="N388" i="4"/>
  <c r="M388" i="4"/>
  <c r="O388" i="4" s="1"/>
  <c r="P387" i="4"/>
  <c r="N387" i="4"/>
  <c r="M387" i="4"/>
  <c r="O387" i="4" s="1"/>
  <c r="P386" i="4"/>
  <c r="N386" i="4"/>
  <c r="M386" i="4"/>
  <c r="O386" i="4" s="1"/>
  <c r="P385" i="4"/>
  <c r="N385" i="4"/>
  <c r="M385" i="4"/>
  <c r="O385" i="4" s="1"/>
  <c r="P384" i="4"/>
  <c r="N384" i="4"/>
  <c r="M384" i="4"/>
  <c r="O384" i="4" s="1"/>
  <c r="P383" i="4"/>
  <c r="N383" i="4"/>
  <c r="M383" i="4"/>
  <c r="O383" i="4" s="1"/>
  <c r="P382" i="4"/>
  <c r="N382" i="4"/>
  <c r="M382" i="4"/>
  <c r="O382" i="4" s="1"/>
  <c r="P381" i="4"/>
  <c r="N381" i="4"/>
  <c r="M381" i="4"/>
  <c r="O381" i="4" s="1"/>
  <c r="P380" i="4"/>
  <c r="N380" i="4"/>
  <c r="M380" i="4"/>
  <c r="O380" i="4" s="1"/>
  <c r="P379" i="4"/>
  <c r="N379" i="4"/>
  <c r="M379" i="4"/>
  <c r="O379" i="4" s="1"/>
  <c r="P378" i="4"/>
  <c r="N378" i="4"/>
  <c r="M378" i="4"/>
  <c r="O378" i="4" s="1"/>
  <c r="P377" i="4"/>
  <c r="N377" i="4"/>
  <c r="M377" i="4"/>
  <c r="O377" i="4" s="1"/>
  <c r="P376" i="4"/>
  <c r="N376" i="4"/>
  <c r="M376" i="4"/>
  <c r="O376" i="4" s="1"/>
  <c r="P375" i="4"/>
  <c r="N375" i="4"/>
  <c r="M375" i="4"/>
  <c r="O375" i="4" s="1"/>
  <c r="P374" i="4"/>
  <c r="N374" i="4"/>
  <c r="M374" i="4"/>
  <c r="O374" i="4" s="1"/>
  <c r="P373" i="4"/>
  <c r="N373" i="4"/>
  <c r="M373" i="4"/>
  <c r="O373" i="4" s="1"/>
  <c r="P372" i="4"/>
  <c r="N372" i="4"/>
  <c r="M372" i="4"/>
  <c r="O372" i="4" s="1"/>
  <c r="P371" i="4"/>
  <c r="N371" i="4"/>
  <c r="M371" i="4"/>
  <c r="O371" i="4" s="1"/>
  <c r="P370" i="4"/>
  <c r="N370" i="4"/>
  <c r="M370" i="4"/>
  <c r="O370" i="4" s="1"/>
  <c r="P369" i="4"/>
  <c r="N369" i="4"/>
  <c r="M369" i="4"/>
  <c r="O369" i="4" s="1"/>
  <c r="P368" i="4"/>
  <c r="N368" i="4"/>
  <c r="M368" i="4"/>
  <c r="O368" i="4" s="1"/>
  <c r="P367" i="4"/>
  <c r="N367" i="4"/>
  <c r="M367" i="4"/>
  <c r="O367" i="4" s="1"/>
  <c r="P366" i="4"/>
  <c r="N366" i="4"/>
  <c r="M366" i="4"/>
  <c r="O366" i="4" s="1"/>
  <c r="P365" i="4"/>
  <c r="N365" i="4"/>
  <c r="M365" i="4"/>
  <c r="O365" i="4" s="1"/>
  <c r="P364" i="4"/>
  <c r="N364" i="4"/>
  <c r="M364" i="4"/>
  <c r="O364" i="4" s="1"/>
  <c r="P363" i="4"/>
  <c r="N363" i="4"/>
  <c r="M363" i="4"/>
  <c r="O363" i="4" s="1"/>
  <c r="P362" i="4"/>
  <c r="N362" i="4"/>
  <c r="M362" i="4"/>
  <c r="O362" i="4" s="1"/>
  <c r="P361" i="4"/>
  <c r="N361" i="4"/>
  <c r="M361" i="4"/>
  <c r="O361" i="4" s="1"/>
  <c r="P360" i="4"/>
  <c r="N360" i="4"/>
  <c r="M360" i="4"/>
  <c r="O360" i="4" s="1"/>
  <c r="P359" i="4"/>
  <c r="N359" i="4"/>
  <c r="M359" i="4"/>
  <c r="O359" i="4" s="1"/>
  <c r="P358" i="4"/>
  <c r="N358" i="4"/>
  <c r="M358" i="4"/>
  <c r="O358" i="4" s="1"/>
  <c r="P357" i="4"/>
  <c r="N357" i="4"/>
  <c r="M357" i="4"/>
  <c r="O357" i="4" s="1"/>
  <c r="P356" i="4"/>
  <c r="N356" i="4"/>
  <c r="M356" i="4"/>
  <c r="O356" i="4" s="1"/>
  <c r="P355" i="4"/>
  <c r="N355" i="4"/>
  <c r="M355" i="4"/>
  <c r="O355" i="4" s="1"/>
  <c r="P354" i="4"/>
  <c r="N354" i="4"/>
  <c r="M354" i="4"/>
  <c r="O354" i="4" s="1"/>
  <c r="P353" i="4"/>
  <c r="N353" i="4"/>
  <c r="M353" i="4"/>
  <c r="O353" i="4" s="1"/>
  <c r="P352" i="4"/>
  <c r="N352" i="4"/>
  <c r="M352" i="4"/>
  <c r="O352" i="4" s="1"/>
  <c r="P351" i="4"/>
  <c r="N351" i="4"/>
  <c r="M351" i="4"/>
  <c r="O351" i="4" s="1"/>
  <c r="P350" i="4"/>
  <c r="N350" i="4"/>
  <c r="M350" i="4"/>
  <c r="O350" i="4" s="1"/>
  <c r="P349" i="4"/>
  <c r="N349" i="4"/>
  <c r="M349" i="4"/>
  <c r="O349" i="4" s="1"/>
  <c r="P348" i="4"/>
  <c r="N348" i="4"/>
  <c r="M348" i="4"/>
  <c r="O348" i="4" s="1"/>
  <c r="P347" i="4"/>
  <c r="N347" i="4"/>
  <c r="M347" i="4"/>
  <c r="O347" i="4" s="1"/>
  <c r="P346" i="4"/>
  <c r="N346" i="4"/>
  <c r="M346" i="4"/>
  <c r="O346" i="4" s="1"/>
  <c r="P345" i="4"/>
  <c r="N345" i="4"/>
  <c r="M345" i="4"/>
  <c r="O345" i="4" s="1"/>
  <c r="P344" i="4"/>
  <c r="N344" i="4"/>
  <c r="M344" i="4"/>
  <c r="O344" i="4" s="1"/>
  <c r="P343" i="4"/>
  <c r="N343" i="4"/>
  <c r="M343" i="4"/>
  <c r="O343" i="4" s="1"/>
  <c r="P342" i="4"/>
  <c r="N342" i="4"/>
  <c r="M342" i="4"/>
  <c r="O342" i="4" s="1"/>
  <c r="P341" i="4"/>
  <c r="N341" i="4"/>
  <c r="M341" i="4"/>
  <c r="O341" i="4" s="1"/>
  <c r="P340" i="4"/>
  <c r="N340" i="4"/>
  <c r="M340" i="4"/>
  <c r="O340" i="4" s="1"/>
  <c r="P339" i="4"/>
  <c r="N339" i="4"/>
  <c r="M339" i="4"/>
  <c r="O339" i="4" s="1"/>
  <c r="P338" i="4"/>
  <c r="N338" i="4"/>
  <c r="M338" i="4"/>
  <c r="O338" i="4" s="1"/>
  <c r="P337" i="4"/>
  <c r="N337" i="4"/>
  <c r="M337" i="4"/>
  <c r="O337" i="4" s="1"/>
  <c r="P336" i="4"/>
  <c r="N336" i="4"/>
  <c r="M336" i="4"/>
  <c r="O336" i="4" s="1"/>
  <c r="P335" i="4"/>
  <c r="N335" i="4"/>
  <c r="M335" i="4"/>
  <c r="O335" i="4" s="1"/>
  <c r="P334" i="4"/>
  <c r="N334" i="4"/>
  <c r="M334" i="4"/>
  <c r="O334" i="4" s="1"/>
  <c r="P333" i="4"/>
  <c r="N333" i="4"/>
  <c r="M333" i="4"/>
  <c r="O333" i="4" s="1"/>
  <c r="P332" i="4"/>
  <c r="N332" i="4"/>
  <c r="M332" i="4"/>
  <c r="O332" i="4" s="1"/>
  <c r="P331" i="4"/>
  <c r="N331" i="4"/>
  <c r="M331" i="4"/>
  <c r="O331" i="4" s="1"/>
  <c r="P330" i="4"/>
  <c r="N330" i="4"/>
  <c r="M330" i="4"/>
  <c r="O330" i="4" s="1"/>
  <c r="P329" i="4"/>
  <c r="N329" i="4"/>
  <c r="M329" i="4"/>
  <c r="O329" i="4" s="1"/>
  <c r="P328" i="4"/>
  <c r="N328" i="4"/>
  <c r="M328" i="4"/>
  <c r="O328" i="4" s="1"/>
  <c r="P327" i="4"/>
  <c r="N327" i="4"/>
  <c r="M327" i="4"/>
  <c r="O327" i="4" s="1"/>
  <c r="P326" i="4"/>
  <c r="N326" i="4"/>
  <c r="M326" i="4"/>
  <c r="O326" i="4" s="1"/>
  <c r="P325" i="4"/>
  <c r="N325" i="4"/>
  <c r="M325" i="4"/>
  <c r="O325" i="4" s="1"/>
  <c r="P324" i="4"/>
  <c r="N324" i="4"/>
  <c r="M324" i="4"/>
  <c r="O324" i="4" s="1"/>
  <c r="P323" i="4"/>
  <c r="N323" i="4"/>
  <c r="M323" i="4"/>
  <c r="O323" i="4" s="1"/>
  <c r="P322" i="4"/>
  <c r="N322" i="4"/>
  <c r="M322" i="4"/>
  <c r="O322" i="4" s="1"/>
  <c r="P321" i="4"/>
  <c r="N321" i="4"/>
  <c r="M321" i="4"/>
  <c r="O321" i="4" s="1"/>
  <c r="P320" i="4"/>
  <c r="N320" i="4"/>
  <c r="M320" i="4"/>
  <c r="O320" i="4" s="1"/>
  <c r="P319" i="4"/>
  <c r="N319" i="4"/>
  <c r="M319" i="4"/>
  <c r="O319" i="4" s="1"/>
  <c r="P318" i="4"/>
  <c r="N318" i="4"/>
  <c r="M318" i="4"/>
  <c r="O318" i="4" s="1"/>
  <c r="P317" i="4"/>
  <c r="N317" i="4"/>
  <c r="M317" i="4"/>
  <c r="O317" i="4" s="1"/>
  <c r="P316" i="4"/>
  <c r="N316" i="4"/>
  <c r="M316" i="4"/>
  <c r="O316" i="4" s="1"/>
  <c r="P315" i="4"/>
  <c r="N315" i="4"/>
  <c r="M315" i="4"/>
  <c r="O315" i="4" s="1"/>
  <c r="P314" i="4"/>
  <c r="N314" i="4"/>
  <c r="M314" i="4"/>
  <c r="O314" i="4" s="1"/>
  <c r="P313" i="4"/>
  <c r="N313" i="4"/>
  <c r="M313" i="4"/>
  <c r="O313" i="4" s="1"/>
  <c r="P312" i="4"/>
  <c r="N312" i="4"/>
  <c r="M312" i="4"/>
  <c r="O312" i="4" s="1"/>
  <c r="P311" i="4"/>
  <c r="N311" i="4"/>
  <c r="M311" i="4"/>
  <c r="O311" i="4" s="1"/>
  <c r="P310" i="4"/>
  <c r="N310" i="4"/>
  <c r="M310" i="4"/>
  <c r="O310" i="4" s="1"/>
  <c r="P309" i="4"/>
  <c r="N309" i="4"/>
  <c r="M309" i="4"/>
  <c r="O309" i="4" s="1"/>
  <c r="P308" i="4"/>
  <c r="N308" i="4"/>
  <c r="M308" i="4"/>
  <c r="O308" i="4" s="1"/>
  <c r="P307" i="4"/>
  <c r="N307" i="4"/>
  <c r="M307" i="4"/>
  <c r="O307" i="4" s="1"/>
  <c r="P306" i="4"/>
  <c r="N306" i="4"/>
  <c r="M306" i="4"/>
  <c r="O306" i="4" s="1"/>
  <c r="P305" i="4"/>
  <c r="N305" i="4"/>
  <c r="M305" i="4"/>
  <c r="O305" i="4" s="1"/>
  <c r="P304" i="4"/>
  <c r="N304" i="4"/>
  <c r="M304" i="4"/>
  <c r="O304" i="4" s="1"/>
  <c r="P303" i="4"/>
  <c r="N303" i="4"/>
  <c r="M303" i="4"/>
  <c r="O303" i="4" s="1"/>
  <c r="P302" i="4"/>
  <c r="N302" i="4"/>
  <c r="M302" i="4"/>
  <c r="O302" i="4" s="1"/>
  <c r="P301" i="4"/>
  <c r="N301" i="4"/>
  <c r="M301" i="4"/>
  <c r="O301" i="4" s="1"/>
  <c r="P300" i="4"/>
  <c r="N300" i="4"/>
  <c r="M300" i="4"/>
  <c r="O300" i="4" s="1"/>
  <c r="P299" i="4"/>
  <c r="N299" i="4"/>
  <c r="M299" i="4"/>
  <c r="O299" i="4" s="1"/>
  <c r="P298" i="4"/>
  <c r="N298" i="4"/>
  <c r="M298" i="4"/>
  <c r="O298" i="4" s="1"/>
  <c r="P297" i="4"/>
  <c r="N297" i="4"/>
  <c r="M297" i="4"/>
  <c r="O297" i="4" s="1"/>
  <c r="P296" i="4"/>
  <c r="N296" i="4"/>
  <c r="M296" i="4"/>
  <c r="O296" i="4" s="1"/>
  <c r="P295" i="4"/>
  <c r="N295" i="4"/>
  <c r="M295" i="4"/>
  <c r="O295" i="4" s="1"/>
  <c r="P294" i="4"/>
  <c r="N294" i="4"/>
  <c r="M294" i="4"/>
  <c r="O294" i="4" s="1"/>
  <c r="P293" i="4"/>
  <c r="N293" i="4"/>
  <c r="M293" i="4"/>
  <c r="O293" i="4" s="1"/>
  <c r="P292" i="4"/>
  <c r="N292" i="4"/>
  <c r="M292" i="4"/>
  <c r="O292" i="4" s="1"/>
  <c r="P291" i="4"/>
  <c r="N291" i="4"/>
  <c r="M291" i="4"/>
  <c r="O291" i="4" s="1"/>
  <c r="P290" i="4"/>
  <c r="N290" i="4"/>
  <c r="M290" i="4"/>
  <c r="O290" i="4" s="1"/>
  <c r="P289" i="4"/>
  <c r="N289" i="4"/>
  <c r="M289" i="4"/>
  <c r="O289" i="4" s="1"/>
  <c r="P288" i="4"/>
  <c r="N288" i="4"/>
  <c r="M288" i="4"/>
  <c r="O288" i="4" s="1"/>
  <c r="P287" i="4"/>
  <c r="N287" i="4"/>
  <c r="M287" i="4"/>
  <c r="O287" i="4" s="1"/>
  <c r="P286" i="4"/>
  <c r="N286" i="4"/>
  <c r="M286" i="4"/>
  <c r="O286" i="4" s="1"/>
  <c r="P285" i="4"/>
  <c r="N285" i="4"/>
  <c r="M285" i="4"/>
  <c r="O285" i="4" s="1"/>
  <c r="P284" i="4"/>
  <c r="N284" i="4"/>
  <c r="M284" i="4"/>
  <c r="O284" i="4" s="1"/>
  <c r="P283" i="4"/>
  <c r="N283" i="4"/>
  <c r="M283" i="4"/>
  <c r="O283" i="4" s="1"/>
  <c r="P282" i="4"/>
  <c r="N282" i="4"/>
  <c r="M282" i="4"/>
  <c r="O282" i="4" s="1"/>
  <c r="P281" i="4"/>
  <c r="N281" i="4"/>
  <c r="M281" i="4"/>
  <c r="O281" i="4" s="1"/>
  <c r="P280" i="4"/>
  <c r="N280" i="4"/>
  <c r="M280" i="4"/>
  <c r="O280" i="4" s="1"/>
  <c r="P279" i="4"/>
  <c r="N279" i="4"/>
  <c r="M279" i="4"/>
  <c r="O279" i="4" s="1"/>
  <c r="P278" i="4"/>
  <c r="N278" i="4"/>
  <c r="M278" i="4"/>
  <c r="O278" i="4" s="1"/>
  <c r="P277" i="4"/>
  <c r="N277" i="4"/>
  <c r="M277" i="4"/>
  <c r="O277" i="4" s="1"/>
  <c r="P276" i="4"/>
  <c r="N276" i="4"/>
  <c r="M276" i="4"/>
  <c r="O276" i="4" s="1"/>
  <c r="P275" i="4"/>
  <c r="N275" i="4"/>
  <c r="M275" i="4"/>
  <c r="O275" i="4" s="1"/>
  <c r="P274" i="4"/>
  <c r="N274" i="4"/>
  <c r="M274" i="4"/>
  <c r="O274" i="4" s="1"/>
  <c r="P273" i="4"/>
  <c r="N273" i="4"/>
  <c r="M273" i="4"/>
  <c r="O273" i="4" s="1"/>
  <c r="P272" i="4"/>
  <c r="N272" i="4"/>
  <c r="M272" i="4"/>
  <c r="O272" i="4" s="1"/>
  <c r="P271" i="4"/>
  <c r="N271" i="4"/>
  <c r="M271" i="4"/>
  <c r="O271" i="4" s="1"/>
  <c r="P270" i="4"/>
  <c r="N270" i="4"/>
  <c r="M270" i="4"/>
  <c r="O270" i="4" s="1"/>
  <c r="P269" i="4"/>
  <c r="N269" i="4"/>
  <c r="M269" i="4"/>
  <c r="O269" i="4" s="1"/>
  <c r="P268" i="4"/>
  <c r="N268" i="4"/>
  <c r="M268" i="4"/>
  <c r="O268" i="4" s="1"/>
  <c r="P267" i="4"/>
  <c r="N267" i="4"/>
  <c r="M267" i="4"/>
  <c r="O267" i="4" s="1"/>
  <c r="P266" i="4"/>
  <c r="N266" i="4"/>
  <c r="M266" i="4"/>
  <c r="O266" i="4" s="1"/>
  <c r="P265" i="4"/>
  <c r="N265" i="4"/>
  <c r="M265" i="4"/>
  <c r="O265" i="4" s="1"/>
  <c r="P264" i="4"/>
  <c r="N264" i="4"/>
  <c r="M264" i="4"/>
  <c r="O264" i="4" s="1"/>
  <c r="P263" i="4"/>
  <c r="N263" i="4"/>
  <c r="M263" i="4"/>
  <c r="O263" i="4" s="1"/>
  <c r="P262" i="4"/>
  <c r="N262" i="4"/>
  <c r="M262" i="4"/>
  <c r="O262" i="4" s="1"/>
  <c r="P261" i="4"/>
  <c r="N261" i="4"/>
  <c r="M261" i="4"/>
  <c r="O261" i="4" s="1"/>
  <c r="P260" i="4"/>
  <c r="N260" i="4"/>
  <c r="M260" i="4"/>
  <c r="O260" i="4" s="1"/>
  <c r="P259" i="4"/>
  <c r="N259" i="4"/>
  <c r="M259" i="4"/>
  <c r="O259" i="4" s="1"/>
  <c r="P258" i="4"/>
  <c r="N258" i="4"/>
  <c r="M258" i="4"/>
  <c r="O258" i="4" s="1"/>
  <c r="P257" i="4"/>
  <c r="N257" i="4"/>
  <c r="M257" i="4"/>
  <c r="O257" i="4" s="1"/>
  <c r="P256" i="4"/>
  <c r="N256" i="4"/>
  <c r="M256" i="4"/>
  <c r="O256" i="4" s="1"/>
  <c r="P255" i="4"/>
  <c r="N255" i="4"/>
  <c r="M255" i="4"/>
  <c r="O255" i="4" s="1"/>
  <c r="P254" i="4"/>
  <c r="N254" i="4"/>
  <c r="O254" i="4" s="1"/>
  <c r="M254" i="4"/>
  <c r="P253" i="4"/>
  <c r="N253" i="4"/>
  <c r="M253" i="4"/>
  <c r="O253" i="4" s="1"/>
  <c r="P252" i="4"/>
  <c r="N252" i="4"/>
  <c r="M252" i="4"/>
  <c r="O252" i="4" s="1"/>
  <c r="P251" i="4"/>
  <c r="N251" i="4"/>
  <c r="M251" i="4"/>
  <c r="O251" i="4" s="1"/>
  <c r="P250" i="4"/>
  <c r="N250" i="4"/>
  <c r="M250" i="4"/>
  <c r="O250" i="4" s="1"/>
  <c r="P249" i="4"/>
  <c r="N249" i="4"/>
  <c r="M249" i="4"/>
  <c r="O249" i="4" s="1"/>
  <c r="P248" i="4"/>
  <c r="N248" i="4"/>
  <c r="M248" i="4"/>
  <c r="O248" i="4" s="1"/>
  <c r="P247" i="4"/>
  <c r="N247" i="4"/>
  <c r="M247" i="4"/>
  <c r="O247" i="4" s="1"/>
  <c r="P246" i="4"/>
  <c r="N246" i="4"/>
  <c r="M246" i="4"/>
  <c r="O246" i="4" s="1"/>
  <c r="P245" i="4"/>
  <c r="N245" i="4"/>
  <c r="M245" i="4"/>
  <c r="O245" i="4" s="1"/>
  <c r="P244" i="4"/>
  <c r="N244" i="4"/>
  <c r="M244" i="4"/>
  <c r="O244" i="4" s="1"/>
  <c r="P243" i="4"/>
  <c r="N243" i="4"/>
  <c r="M243" i="4"/>
  <c r="O243" i="4" s="1"/>
  <c r="P242" i="4"/>
  <c r="N242" i="4"/>
  <c r="M242" i="4"/>
  <c r="O242" i="4" s="1"/>
  <c r="P241" i="4"/>
  <c r="N241" i="4"/>
  <c r="M241" i="4"/>
  <c r="O241" i="4" s="1"/>
  <c r="P240" i="4"/>
  <c r="N240" i="4"/>
  <c r="M240" i="4"/>
  <c r="O240" i="4" s="1"/>
  <c r="P239" i="4"/>
  <c r="N239" i="4"/>
  <c r="M239" i="4"/>
  <c r="O239" i="4" s="1"/>
  <c r="P238" i="4"/>
  <c r="N238" i="4"/>
  <c r="M238" i="4"/>
  <c r="O238" i="4" s="1"/>
  <c r="P237" i="4"/>
  <c r="N237" i="4"/>
  <c r="M237" i="4"/>
  <c r="O237" i="4" s="1"/>
  <c r="P236" i="4"/>
  <c r="N236" i="4"/>
  <c r="M236" i="4"/>
  <c r="O236" i="4" s="1"/>
  <c r="P235" i="4"/>
  <c r="N235" i="4"/>
  <c r="M235" i="4"/>
  <c r="O235" i="4" s="1"/>
  <c r="P234" i="4"/>
  <c r="N234" i="4"/>
  <c r="M234" i="4"/>
  <c r="O234" i="4" s="1"/>
  <c r="P233" i="4"/>
  <c r="N233" i="4"/>
  <c r="M233" i="4"/>
  <c r="O233" i="4" s="1"/>
  <c r="P232" i="4"/>
  <c r="N232" i="4"/>
  <c r="M232" i="4"/>
  <c r="O232" i="4" s="1"/>
  <c r="P231" i="4"/>
  <c r="N231" i="4"/>
  <c r="M231" i="4"/>
  <c r="O231" i="4" s="1"/>
  <c r="P230" i="4"/>
  <c r="N230" i="4"/>
  <c r="M230" i="4"/>
  <c r="O230" i="4" s="1"/>
  <c r="P229" i="4"/>
  <c r="N229" i="4"/>
  <c r="M229" i="4"/>
  <c r="O229" i="4" s="1"/>
  <c r="P228" i="4"/>
  <c r="N228" i="4"/>
  <c r="M228" i="4"/>
  <c r="O228" i="4" s="1"/>
  <c r="P227" i="4"/>
  <c r="N227" i="4"/>
  <c r="M227" i="4"/>
  <c r="O227" i="4" s="1"/>
  <c r="P226" i="4"/>
  <c r="N226" i="4"/>
  <c r="M226" i="4"/>
  <c r="O226" i="4" s="1"/>
  <c r="P225" i="4"/>
  <c r="N225" i="4"/>
  <c r="M225" i="4"/>
  <c r="O225" i="4" s="1"/>
  <c r="P224" i="4"/>
  <c r="N224" i="4"/>
  <c r="M224" i="4"/>
  <c r="O224" i="4" s="1"/>
  <c r="P223" i="4"/>
  <c r="N223" i="4"/>
  <c r="M223" i="4"/>
  <c r="O223" i="4" s="1"/>
  <c r="P222" i="4"/>
  <c r="N222" i="4"/>
  <c r="M222" i="4"/>
  <c r="O222" i="4" s="1"/>
  <c r="P221" i="4"/>
  <c r="N221" i="4"/>
  <c r="M221" i="4"/>
  <c r="O221" i="4" s="1"/>
  <c r="P220" i="4"/>
  <c r="N220" i="4"/>
  <c r="M220" i="4"/>
  <c r="O220" i="4" s="1"/>
  <c r="P219" i="4"/>
  <c r="N219" i="4"/>
  <c r="M219" i="4"/>
  <c r="O219" i="4" s="1"/>
  <c r="P218" i="4"/>
  <c r="N218" i="4"/>
  <c r="M218" i="4"/>
  <c r="O218" i="4" s="1"/>
  <c r="P217" i="4"/>
  <c r="N217" i="4"/>
  <c r="M217" i="4"/>
  <c r="O217" i="4" s="1"/>
  <c r="P216" i="4"/>
  <c r="N216" i="4"/>
  <c r="M216" i="4"/>
  <c r="O216" i="4" s="1"/>
  <c r="P215" i="4"/>
  <c r="N215" i="4"/>
  <c r="M215" i="4"/>
  <c r="O215" i="4" s="1"/>
  <c r="P214" i="4"/>
  <c r="N214" i="4"/>
  <c r="M214" i="4"/>
  <c r="O214" i="4" s="1"/>
  <c r="P213" i="4"/>
  <c r="N213" i="4"/>
  <c r="M213" i="4"/>
  <c r="O213" i="4" s="1"/>
  <c r="P212" i="4"/>
  <c r="N212" i="4"/>
  <c r="M212" i="4"/>
  <c r="O212" i="4" s="1"/>
  <c r="P211" i="4"/>
  <c r="N211" i="4"/>
  <c r="M211" i="4"/>
  <c r="O211" i="4" s="1"/>
  <c r="P210" i="4"/>
  <c r="N210" i="4"/>
  <c r="M210" i="4"/>
  <c r="O210" i="4" s="1"/>
  <c r="P209" i="4"/>
  <c r="N209" i="4"/>
  <c r="M209" i="4"/>
  <c r="O209" i="4" s="1"/>
  <c r="P208" i="4"/>
  <c r="N208" i="4"/>
  <c r="M208" i="4"/>
  <c r="O208" i="4" s="1"/>
  <c r="P207" i="4"/>
  <c r="N207" i="4"/>
  <c r="M207" i="4"/>
  <c r="O207" i="4" s="1"/>
  <c r="P206" i="4"/>
  <c r="N206" i="4"/>
  <c r="M206" i="4"/>
  <c r="O206" i="4" s="1"/>
  <c r="P205" i="4"/>
  <c r="N205" i="4"/>
  <c r="M205" i="4"/>
  <c r="O205" i="4" s="1"/>
  <c r="P204" i="4"/>
  <c r="N204" i="4"/>
  <c r="M204" i="4"/>
  <c r="O204" i="4" s="1"/>
  <c r="P203" i="4"/>
  <c r="N203" i="4"/>
  <c r="M203" i="4"/>
  <c r="O203" i="4" s="1"/>
  <c r="P202" i="4"/>
  <c r="N202" i="4"/>
  <c r="M202" i="4"/>
  <c r="O202" i="4" s="1"/>
  <c r="P201" i="4"/>
  <c r="N201" i="4"/>
  <c r="M201" i="4"/>
  <c r="O201" i="4" s="1"/>
  <c r="P200" i="4"/>
  <c r="O200" i="4"/>
  <c r="N200" i="4"/>
  <c r="M200" i="4"/>
  <c r="P199" i="4"/>
  <c r="N199" i="4"/>
  <c r="M199" i="4"/>
  <c r="O199" i="4" s="1"/>
  <c r="P198" i="4"/>
  <c r="N198" i="4"/>
  <c r="M198" i="4"/>
  <c r="O198" i="4" s="1"/>
  <c r="P197" i="4"/>
  <c r="N197" i="4"/>
  <c r="M197" i="4"/>
  <c r="O197" i="4" s="1"/>
  <c r="P196" i="4"/>
  <c r="N196" i="4"/>
  <c r="M196" i="4"/>
  <c r="O196" i="4" s="1"/>
  <c r="P195" i="4"/>
  <c r="N195" i="4"/>
  <c r="M195" i="4"/>
  <c r="O195" i="4" s="1"/>
  <c r="P194" i="4"/>
  <c r="N194" i="4"/>
  <c r="M194" i="4"/>
  <c r="O194" i="4" s="1"/>
  <c r="P193" i="4"/>
  <c r="N193" i="4"/>
  <c r="M193" i="4"/>
  <c r="O193" i="4" s="1"/>
  <c r="P192" i="4"/>
  <c r="N192" i="4"/>
  <c r="M192" i="4"/>
  <c r="O192" i="4" s="1"/>
  <c r="P191" i="4"/>
  <c r="N191" i="4"/>
  <c r="M191" i="4"/>
  <c r="O191" i="4" s="1"/>
  <c r="P190" i="4"/>
  <c r="N190" i="4"/>
  <c r="M190" i="4"/>
  <c r="O190" i="4" s="1"/>
  <c r="P189" i="4"/>
  <c r="N189" i="4"/>
  <c r="M189" i="4"/>
  <c r="O189" i="4" s="1"/>
  <c r="P188" i="4"/>
  <c r="N188" i="4"/>
  <c r="M188" i="4"/>
  <c r="O188" i="4" s="1"/>
  <c r="P187" i="4"/>
  <c r="N187" i="4"/>
  <c r="M187" i="4"/>
  <c r="O187" i="4" s="1"/>
  <c r="P186" i="4"/>
  <c r="N186" i="4"/>
  <c r="M186" i="4"/>
  <c r="O186" i="4" s="1"/>
  <c r="P185" i="4"/>
  <c r="N185" i="4"/>
  <c r="M185" i="4"/>
  <c r="O185" i="4" s="1"/>
  <c r="P184" i="4"/>
  <c r="N184" i="4"/>
  <c r="M184" i="4"/>
  <c r="O184" i="4" s="1"/>
  <c r="P183" i="4"/>
  <c r="N183" i="4"/>
  <c r="M183" i="4"/>
  <c r="O183" i="4" s="1"/>
  <c r="P182" i="4"/>
  <c r="N182" i="4"/>
  <c r="M182" i="4"/>
  <c r="O182" i="4" s="1"/>
  <c r="P181" i="4"/>
  <c r="N181" i="4"/>
  <c r="M181" i="4"/>
  <c r="O181" i="4" s="1"/>
  <c r="P180" i="4"/>
  <c r="N180" i="4"/>
  <c r="M180" i="4"/>
  <c r="O180" i="4" s="1"/>
  <c r="P179" i="4"/>
  <c r="N179" i="4"/>
  <c r="M179" i="4"/>
  <c r="O179" i="4" s="1"/>
  <c r="P178" i="4"/>
  <c r="N178" i="4"/>
  <c r="M178" i="4"/>
  <c r="O178" i="4" s="1"/>
  <c r="P177" i="4"/>
  <c r="N177" i="4"/>
  <c r="M177" i="4"/>
  <c r="O177" i="4" s="1"/>
  <c r="P176" i="4"/>
  <c r="N176" i="4"/>
  <c r="M176" i="4"/>
  <c r="O176" i="4" s="1"/>
  <c r="P175" i="4"/>
  <c r="N175" i="4"/>
  <c r="M175" i="4"/>
  <c r="O175" i="4" s="1"/>
  <c r="P174" i="4"/>
  <c r="N174" i="4"/>
  <c r="M174" i="4"/>
  <c r="O174" i="4" s="1"/>
  <c r="P173" i="4"/>
  <c r="N173" i="4"/>
  <c r="M173" i="4"/>
  <c r="O173" i="4" s="1"/>
  <c r="P172" i="4"/>
  <c r="N172" i="4"/>
  <c r="M172" i="4"/>
  <c r="O172" i="4" s="1"/>
  <c r="P171" i="4"/>
  <c r="N171" i="4"/>
  <c r="M171" i="4"/>
  <c r="O171" i="4" s="1"/>
  <c r="P170" i="4"/>
  <c r="N170" i="4"/>
  <c r="M170" i="4"/>
  <c r="O170" i="4" s="1"/>
  <c r="P169" i="4"/>
  <c r="N169" i="4"/>
  <c r="M169" i="4"/>
  <c r="O169" i="4" s="1"/>
  <c r="P168" i="4"/>
  <c r="N168" i="4"/>
  <c r="M168" i="4"/>
  <c r="O168" i="4" s="1"/>
  <c r="P167" i="4"/>
  <c r="N167" i="4"/>
  <c r="M167" i="4"/>
  <c r="O167" i="4" s="1"/>
  <c r="P166" i="4"/>
  <c r="N166" i="4"/>
  <c r="M166" i="4"/>
  <c r="O166" i="4" s="1"/>
  <c r="P165" i="4"/>
  <c r="N165" i="4"/>
  <c r="M165" i="4"/>
  <c r="O165" i="4" s="1"/>
  <c r="P164" i="4"/>
  <c r="N164" i="4"/>
  <c r="M164" i="4"/>
  <c r="O164" i="4" s="1"/>
  <c r="P163" i="4"/>
  <c r="N163" i="4"/>
  <c r="M163" i="4"/>
  <c r="O163" i="4" s="1"/>
  <c r="P162" i="4"/>
  <c r="N162" i="4"/>
  <c r="M162" i="4"/>
  <c r="O162" i="4" s="1"/>
  <c r="P161" i="4"/>
  <c r="N161" i="4"/>
  <c r="M161" i="4"/>
  <c r="O161" i="4" s="1"/>
  <c r="P160" i="4"/>
  <c r="N160" i="4"/>
  <c r="M160" i="4"/>
  <c r="O160" i="4" s="1"/>
  <c r="P159" i="4"/>
  <c r="N159" i="4"/>
  <c r="M159" i="4"/>
  <c r="O159" i="4" s="1"/>
  <c r="P158" i="4"/>
  <c r="N158" i="4"/>
  <c r="M158" i="4"/>
  <c r="O158" i="4" s="1"/>
  <c r="P157" i="4"/>
  <c r="N157" i="4"/>
  <c r="M157" i="4"/>
  <c r="O157" i="4" s="1"/>
  <c r="P156" i="4"/>
  <c r="N156" i="4"/>
  <c r="M156" i="4"/>
  <c r="O156" i="4" s="1"/>
  <c r="P155" i="4"/>
  <c r="N155" i="4"/>
  <c r="M155" i="4"/>
  <c r="O155" i="4" s="1"/>
  <c r="P154" i="4"/>
  <c r="N154" i="4"/>
  <c r="M154" i="4"/>
  <c r="O154" i="4" s="1"/>
  <c r="P153" i="4"/>
  <c r="N153" i="4"/>
  <c r="M153" i="4"/>
  <c r="O153" i="4" s="1"/>
  <c r="P152" i="4"/>
  <c r="N152" i="4"/>
  <c r="M152" i="4"/>
  <c r="O152" i="4" s="1"/>
  <c r="P151" i="4"/>
  <c r="N151" i="4"/>
  <c r="M151" i="4"/>
  <c r="O151" i="4" s="1"/>
  <c r="P150" i="4"/>
  <c r="N150" i="4"/>
  <c r="M150" i="4"/>
  <c r="O150" i="4" s="1"/>
  <c r="P149" i="4"/>
  <c r="N149" i="4"/>
  <c r="M149" i="4"/>
  <c r="O149" i="4" s="1"/>
  <c r="P148" i="4"/>
  <c r="N148" i="4"/>
  <c r="M148" i="4"/>
  <c r="O148" i="4" s="1"/>
  <c r="P147" i="4"/>
  <c r="N147" i="4"/>
  <c r="M147" i="4"/>
  <c r="O147" i="4" s="1"/>
  <c r="P146" i="4"/>
  <c r="N146" i="4"/>
  <c r="M146" i="4"/>
  <c r="O146" i="4" s="1"/>
  <c r="P145" i="4"/>
  <c r="N145" i="4"/>
  <c r="M145" i="4"/>
  <c r="O145" i="4" s="1"/>
  <c r="P144" i="4"/>
  <c r="N144" i="4"/>
  <c r="M144" i="4"/>
  <c r="O144" i="4" s="1"/>
  <c r="P143" i="4"/>
  <c r="N143" i="4"/>
  <c r="M143" i="4"/>
  <c r="O143" i="4" s="1"/>
  <c r="P142" i="4"/>
  <c r="N142" i="4"/>
  <c r="M142" i="4"/>
  <c r="O142" i="4" s="1"/>
  <c r="P141" i="4"/>
  <c r="N141" i="4"/>
  <c r="M141" i="4"/>
  <c r="O141" i="4" s="1"/>
  <c r="P140" i="4"/>
  <c r="N140" i="4"/>
  <c r="M140" i="4"/>
  <c r="O140" i="4" s="1"/>
  <c r="P139" i="4"/>
  <c r="N139" i="4"/>
  <c r="M139" i="4"/>
  <c r="O139" i="4" s="1"/>
  <c r="P138" i="4"/>
  <c r="N138" i="4"/>
  <c r="M138" i="4"/>
  <c r="O138" i="4" s="1"/>
  <c r="P137" i="4"/>
  <c r="N137" i="4"/>
  <c r="M137" i="4"/>
  <c r="O137" i="4" s="1"/>
  <c r="P136" i="4"/>
  <c r="N136" i="4"/>
  <c r="M136" i="4"/>
  <c r="O136" i="4" s="1"/>
  <c r="P135" i="4"/>
  <c r="N135" i="4"/>
  <c r="M135" i="4"/>
  <c r="O135" i="4" s="1"/>
  <c r="P134" i="4"/>
  <c r="N134" i="4"/>
  <c r="M134" i="4"/>
  <c r="O134" i="4" s="1"/>
  <c r="P133" i="4"/>
  <c r="N133" i="4"/>
  <c r="M133" i="4"/>
  <c r="O133" i="4" s="1"/>
  <c r="P132" i="4"/>
  <c r="N132" i="4"/>
  <c r="M132" i="4"/>
  <c r="O132" i="4" s="1"/>
  <c r="P131" i="4"/>
  <c r="N131" i="4"/>
  <c r="M131" i="4"/>
  <c r="O131" i="4" s="1"/>
  <c r="P130" i="4"/>
  <c r="N130" i="4"/>
  <c r="M130" i="4"/>
  <c r="O130" i="4" s="1"/>
  <c r="P129" i="4"/>
  <c r="N129" i="4"/>
  <c r="M129" i="4"/>
  <c r="O129" i="4" s="1"/>
  <c r="P128" i="4"/>
  <c r="N128" i="4"/>
  <c r="M128" i="4"/>
  <c r="O128" i="4" s="1"/>
  <c r="P127" i="4"/>
  <c r="N127" i="4"/>
  <c r="M127" i="4"/>
  <c r="O127" i="4" s="1"/>
  <c r="P126" i="4"/>
  <c r="N126" i="4"/>
  <c r="M126" i="4"/>
  <c r="O126" i="4" s="1"/>
  <c r="P125" i="4"/>
  <c r="N125" i="4"/>
  <c r="M125" i="4"/>
  <c r="O125" i="4" s="1"/>
  <c r="P124" i="4"/>
  <c r="N124" i="4"/>
  <c r="M124" i="4"/>
  <c r="O124" i="4" s="1"/>
  <c r="P123" i="4"/>
  <c r="N123" i="4"/>
  <c r="M123" i="4"/>
  <c r="O123" i="4" s="1"/>
  <c r="P122" i="4"/>
  <c r="N122" i="4"/>
  <c r="M122" i="4"/>
  <c r="O122" i="4" s="1"/>
  <c r="P121" i="4"/>
  <c r="N121" i="4"/>
  <c r="M121" i="4"/>
  <c r="O121" i="4" s="1"/>
  <c r="P120" i="4"/>
  <c r="N120" i="4"/>
  <c r="M120" i="4"/>
  <c r="O120" i="4" s="1"/>
  <c r="P119" i="4"/>
  <c r="N119" i="4"/>
  <c r="M119" i="4"/>
  <c r="O119" i="4" s="1"/>
  <c r="P118" i="4"/>
  <c r="N118" i="4"/>
  <c r="M118" i="4"/>
  <c r="O118" i="4" s="1"/>
  <c r="P117" i="4"/>
  <c r="N117" i="4"/>
  <c r="M117" i="4"/>
  <c r="O117" i="4" s="1"/>
  <c r="P116" i="4"/>
  <c r="N116" i="4"/>
  <c r="M116" i="4"/>
  <c r="O116" i="4" s="1"/>
  <c r="P115" i="4"/>
  <c r="N115" i="4"/>
  <c r="M115" i="4"/>
  <c r="O115" i="4" s="1"/>
  <c r="P114" i="4"/>
  <c r="N114" i="4"/>
  <c r="M114" i="4"/>
  <c r="O114" i="4" s="1"/>
  <c r="P113" i="4"/>
  <c r="N113" i="4"/>
  <c r="M113" i="4"/>
  <c r="O113" i="4" s="1"/>
  <c r="P112" i="4"/>
  <c r="N112" i="4"/>
  <c r="M112" i="4"/>
  <c r="O112" i="4" s="1"/>
  <c r="P111" i="4"/>
  <c r="N111" i="4"/>
  <c r="M111" i="4"/>
  <c r="O111" i="4" s="1"/>
  <c r="P110" i="4"/>
  <c r="N110" i="4"/>
  <c r="M110" i="4"/>
  <c r="O110" i="4" s="1"/>
  <c r="P109" i="4"/>
  <c r="N109" i="4"/>
  <c r="M109" i="4"/>
  <c r="O109" i="4" s="1"/>
  <c r="P108" i="4"/>
  <c r="N108" i="4"/>
  <c r="M108" i="4"/>
  <c r="O108" i="4" s="1"/>
  <c r="P107" i="4"/>
  <c r="N107" i="4"/>
  <c r="M107" i="4"/>
  <c r="O107" i="4" s="1"/>
  <c r="P106" i="4"/>
  <c r="N106" i="4"/>
  <c r="M106" i="4"/>
  <c r="O106" i="4" s="1"/>
  <c r="P105" i="4"/>
  <c r="N105" i="4"/>
  <c r="M105" i="4"/>
  <c r="O105" i="4" s="1"/>
  <c r="P104" i="4"/>
  <c r="N104" i="4"/>
  <c r="M104" i="4"/>
  <c r="O104" i="4" s="1"/>
  <c r="P103" i="4"/>
  <c r="N103" i="4"/>
  <c r="M103" i="4"/>
  <c r="O103" i="4" s="1"/>
  <c r="P102" i="4"/>
  <c r="N102" i="4"/>
  <c r="M102" i="4"/>
  <c r="O102" i="4" s="1"/>
  <c r="P101" i="4"/>
  <c r="N101" i="4"/>
  <c r="M101" i="4"/>
  <c r="O101" i="4" s="1"/>
  <c r="P100" i="4"/>
  <c r="N100" i="4"/>
  <c r="M100" i="4"/>
  <c r="O100" i="4" s="1"/>
  <c r="P99" i="4"/>
  <c r="N99" i="4"/>
  <c r="M99" i="4"/>
  <c r="O99" i="4" s="1"/>
  <c r="P98" i="4"/>
  <c r="N98" i="4"/>
  <c r="M98" i="4"/>
  <c r="O98" i="4" s="1"/>
  <c r="P97" i="4"/>
  <c r="N97" i="4"/>
  <c r="M97" i="4"/>
  <c r="O97" i="4" s="1"/>
  <c r="P96" i="4"/>
  <c r="N96" i="4"/>
  <c r="M96" i="4"/>
  <c r="O96" i="4" s="1"/>
  <c r="P95" i="4"/>
  <c r="N95" i="4"/>
  <c r="M95" i="4"/>
  <c r="O95" i="4" s="1"/>
  <c r="P94" i="4"/>
  <c r="N94" i="4"/>
  <c r="M94" i="4"/>
  <c r="O94" i="4" s="1"/>
  <c r="P93" i="4"/>
  <c r="N93" i="4"/>
  <c r="O93" i="4" s="1"/>
  <c r="M93" i="4"/>
  <c r="P92" i="4"/>
  <c r="N92" i="4"/>
  <c r="M92" i="4"/>
  <c r="O92" i="4" s="1"/>
  <c r="P91" i="4"/>
  <c r="N91" i="4"/>
  <c r="M91" i="4"/>
  <c r="O91" i="4" s="1"/>
  <c r="P90" i="4"/>
  <c r="N90" i="4"/>
  <c r="M90" i="4"/>
  <c r="O90" i="4" s="1"/>
  <c r="P89" i="4"/>
  <c r="N89" i="4"/>
  <c r="M89" i="4"/>
  <c r="O89" i="4" s="1"/>
  <c r="P88" i="4"/>
  <c r="N88" i="4"/>
  <c r="M88" i="4"/>
  <c r="O88" i="4" s="1"/>
  <c r="P87" i="4"/>
  <c r="N87" i="4"/>
  <c r="M87" i="4"/>
  <c r="O87" i="4" s="1"/>
  <c r="P86" i="4"/>
  <c r="N86" i="4"/>
  <c r="M86" i="4"/>
  <c r="O86" i="4" s="1"/>
  <c r="P85" i="4"/>
  <c r="N85" i="4"/>
  <c r="M85" i="4"/>
  <c r="O85" i="4" s="1"/>
  <c r="P84" i="4"/>
  <c r="N84" i="4"/>
  <c r="M84" i="4"/>
  <c r="O84" i="4" s="1"/>
  <c r="P83" i="4"/>
  <c r="N83" i="4"/>
  <c r="M83" i="4"/>
  <c r="O83" i="4" s="1"/>
  <c r="P82" i="4"/>
  <c r="N82" i="4"/>
  <c r="M82" i="4"/>
  <c r="O82" i="4" s="1"/>
  <c r="P81" i="4"/>
  <c r="N81" i="4"/>
  <c r="M81" i="4"/>
  <c r="O81" i="4" s="1"/>
  <c r="P80" i="4"/>
  <c r="N80" i="4"/>
  <c r="M80" i="4"/>
  <c r="O80" i="4" s="1"/>
  <c r="P79" i="4"/>
  <c r="N79" i="4"/>
  <c r="M79" i="4"/>
  <c r="O79" i="4" s="1"/>
  <c r="P78" i="4"/>
  <c r="N78" i="4"/>
  <c r="M78" i="4"/>
  <c r="O78" i="4" s="1"/>
  <c r="P77" i="4"/>
  <c r="N77" i="4"/>
  <c r="M77" i="4"/>
  <c r="O77" i="4" s="1"/>
  <c r="P76" i="4"/>
  <c r="N76" i="4"/>
  <c r="M76" i="4"/>
  <c r="O76" i="4" s="1"/>
  <c r="P75" i="4"/>
  <c r="N75" i="4"/>
  <c r="M75" i="4"/>
  <c r="O75" i="4" s="1"/>
  <c r="P74" i="4"/>
  <c r="N74" i="4"/>
  <c r="M74" i="4"/>
  <c r="O74" i="4" s="1"/>
  <c r="P73" i="4"/>
  <c r="N73" i="4"/>
  <c r="M73" i="4"/>
  <c r="O73" i="4" s="1"/>
  <c r="P72" i="4"/>
  <c r="N72" i="4"/>
  <c r="M72" i="4"/>
  <c r="O72" i="4" s="1"/>
  <c r="P71" i="4"/>
  <c r="N71" i="4"/>
  <c r="M71" i="4"/>
  <c r="O71" i="4" s="1"/>
  <c r="P70" i="4"/>
  <c r="N70" i="4"/>
  <c r="M70" i="4"/>
  <c r="O70" i="4" s="1"/>
  <c r="P69" i="4"/>
  <c r="N69" i="4"/>
  <c r="M69" i="4"/>
  <c r="O69" i="4" s="1"/>
  <c r="P68" i="4"/>
  <c r="N68" i="4"/>
  <c r="M68" i="4"/>
  <c r="O68" i="4" s="1"/>
  <c r="P67" i="4"/>
  <c r="N67" i="4"/>
  <c r="M67" i="4"/>
  <c r="O67" i="4" s="1"/>
  <c r="P66" i="4"/>
  <c r="N66" i="4"/>
  <c r="M66" i="4"/>
  <c r="O66" i="4" s="1"/>
  <c r="P65" i="4"/>
  <c r="N65" i="4"/>
  <c r="M65" i="4"/>
  <c r="O65" i="4" s="1"/>
  <c r="P64" i="4"/>
  <c r="N64" i="4"/>
  <c r="M64" i="4"/>
  <c r="O64" i="4" s="1"/>
  <c r="P63" i="4"/>
  <c r="N63" i="4"/>
  <c r="M63" i="4"/>
  <c r="O63" i="4" s="1"/>
  <c r="P62" i="4"/>
  <c r="N62" i="4"/>
  <c r="M62" i="4"/>
  <c r="O62" i="4" s="1"/>
  <c r="P61" i="4"/>
  <c r="N61" i="4"/>
  <c r="M61" i="4"/>
  <c r="O61" i="4" s="1"/>
  <c r="P60" i="4"/>
  <c r="N60" i="4"/>
  <c r="M60" i="4"/>
  <c r="O60" i="4" s="1"/>
  <c r="P59" i="4"/>
  <c r="N59" i="4"/>
  <c r="M59" i="4"/>
  <c r="O59" i="4" s="1"/>
  <c r="P58" i="4"/>
  <c r="N58" i="4"/>
  <c r="M58" i="4"/>
  <c r="O58" i="4" s="1"/>
  <c r="P57" i="4"/>
  <c r="N57" i="4"/>
  <c r="M57" i="4"/>
  <c r="O57" i="4" s="1"/>
  <c r="P56" i="4"/>
  <c r="N56" i="4"/>
  <c r="M56" i="4"/>
  <c r="O56" i="4" s="1"/>
  <c r="P55" i="4"/>
  <c r="N55" i="4"/>
  <c r="M55" i="4"/>
  <c r="O55" i="4" s="1"/>
  <c r="P54" i="4"/>
  <c r="N54" i="4"/>
  <c r="M54" i="4"/>
  <c r="O54" i="4" s="1"/>
  <c r="P53" i="4"/>
  <c r="N53" i="4"/>
  <c r="M53" i="4"/>
  <c r="O53" i="4" s="1"/>
  <c r="P52" i="4"/>
  <c r="N52" i="4"/>
  <c r="M52" i="4"/>
  <c r="O52" i="4" s="1"/>
  <c r="P51" i="4"/>
  <c r="N51" i="4"/>
  <c r="M51" i="4"/>
  <c r="O51" i="4" s="1"/>
  <c r="P50" i="4"/>
  <c r="N50" i="4"/>
  <c r="M50" i="4"/>
  <c r="O50" i="4" s="1"/>
  <c r="P49" i="4"/>
  <c r="N49" i="4"/>
  <c r="M49" i="4"/>
  <c r="O49" i="4" s="1"/>
  <c r="P48" i="4"/>
  <c r="N48" i="4"/>
  <c r="M48" i="4"/>
  <c r="O48" i="4" s="1"/>
  <c r="P47" i="4"/>
  <c r="N47" i="4"/>
  <c r="M47" i="4"/>
  <c r="O47" i="4" s="1"/>
  <c r="P46" i="4"/>
  <c r="N46" i="4"/>
  <c r="M46" i="4"/>
  <c r="O46" i="4" s="1"/>
  <c r="P45" i="4"/>
  <c r="N45" i="4"/>
  <c r="M45" i="4"/>
  <c r="O45" i="4" s="1"/>
  <c r="P44" i="4"/>
  <c r="N44" i="4"/>
  <c r="M44" i="4"/>
  <c r="O44" i="4" s="1"/>
  <c r="P43" i="4"/>
  <c r="N43" i="4"/>
  <c r="M43" i="4"/>
  <c r="O43" i="4" s="1"/>
  <c r="P42" i="4"/>
  <c r="N42" i="4"/>
  <c r="M42" i="4"/>
  <c r="O42" i="4" s="1"/>
  <c r="P41" i="4"/>
  <c r="N41" i="4"/>
  <c r="M41" i="4"/>
  <c r="O41" i="4" s="1"/>
  <c r="P40" i="4"/>
  <c r="N40" i="4"/>
  <c r="M40" i="4"/>
  <c r="O40" i="4" s="1"/>
  <c r="P39" i="4"/>
  <c r="O39" i="4"/>
  <c r="N39" i="4"/>
  <c r="M39" i="4"/>
  <c r="P38" i="4"/>
  <c r="N38" i="4"/>
  <c r="M38" i="4"/>
  <c r="O38" i="4" s="1"/>
  <c r="P37" i="4"/>
  <c r="N37" i="4"/>
  <c r="M37" i="4"/>
  <c r="O37" i="4" s="1"/>
  <c r="P36" i="4"/>
  <c r="N36" i="4"/>
  <c r="M36" i="4"/>
  <c r="O36" i="4" s="1"/>
  <c r="P35" i="4"/>
  <c r="N35" i="4"/>
  <c r="M35" i="4"/>
  <c r="O35" i="4" s="1"/>
  <c r="P34" i="4"/>
  <c r="N34" i="4"/>
  <c r="M34" i="4"/>
  <c r="O34" i="4" s="1"/>
  <c r="P33" i="4"/>
  <c r="N33" i="4"/>
  <c r="M33" i="4"/>
  <c r="O33" i="4" s="1"/>
  <c r="P32" i="4"/>
  <c r="N32" i="4"/>
  <c r="M32" i="4"/>
  <c r="O32" i="4" s="1"/>
  <c r="P31" i="4"/>
  <c r="N31" i="4"/>
  <c r="M31" i="4"/>
  <c r="O31" i="4" s="1"/>
  <c r="P30" i="4"/>
  <c r="N30" i="4"/>
  <c r="M30" i="4"/>
  <c r="O30" i="4" s="1"/>
  <c r="P29" i="4"/>
  <c r="N29" i="4"/>
  <c r="M29" i="4"/>
  <c r="O29" i="4" s="1"/>
  <c r="P28" i="4"/>
  <c r="N28" i="4"/>
  <c r="M28" i="4"/>
  <c r="O28" i="4" s="1"/>
  <c r="P27" i="4"/>
  <c r="N27" i="4"/>
  <c r="M27" i="4"/>
  <c r="O27" i="4" s="1"/>
  <c r="P26" i="4"/>
  <c r="N26" i="4"/>
  <c r="M26" i="4"/>
  <c r="O26" i="4" s="1"/>
  <c r="P25" i="4"/>
  <c r="N25" i="4"/>
  <c r="M25" i="4"/>
  <c r="O25" i="4" s="1"/>
  <c r="P24" i="4"/>
  <c r="N24" i="4"/>
  <c r="M24" i="4"/>
  <c r="O24" i="4" s="1"/>
  <c r="P23" i="4"/>
  <c r="N23" i="4"/>
  <c r="M23" i="4"/>
  <c r="O23" i="4" s="1"/>
  <c r="P22" i="4"/>
  <c r="N22" i="4"/>
  <c r="M22" i="4"/>
  <c r="O22" i="4" s="1"/>
  <c r="P21" i="4"/>
  <c r="N21" i="4"/>
  <c r="M21" i="4"/>
  <c r="O21" i="4" s="1"/>
  <c r="P20" i="4"/>
  <c r="N20" i="4"/>
  <c r="M20" i="4"/>
  <c r="O20" i="4" s="1"/>
  <c r="P19" i="4"/>
  <c r="N19" i="4"/>
  <c r="M19" i="4"/>
  <c r="O19" i="4" s="1"/>
  <c r="P18" i="4"/>
  <c r="N18" i="4"/>
  <c r="M18" i="4"/>
  <c r="O18" i="4" s="1"/>
  <c r="P17" i="4"/>
  <c r="N17" i="4"/>
  <c r="M17" i="4"/>
  <c r="O17" i="4" s="1"/>
  <c r="P16" i="4"/>
  <c r="N16" i="4"/>
  <c r="M16" i="4"/>
  <c r="O16" i="4" s="1"/>
  <c r="P15" i="4"/>
  <c r="N15" i="4"/>
  <c r="M15" i="4"/>
  <c r="O15" i="4" s="1"/>
  <c r="P14" i="4"/>
  <c r="N14" i="4"/>
  <c r="M14" i="4"/>
  <c r="O14" i="4" s="1"/>
  <c r="P13" i="4"/>
  <c r="N13" i="4"/>
  <c r="M13" i="4"/>
  <c r="O13" i="4" s="1"/>
  <c r="P12" i="4"/>
  <c r="N12" i="4"/>
  <c r="M12" i="4"/>
  <c r="O12" i="4" s="1"/>
  <c r="P11" i="4"/>
  <c r="N11" i="4"/>
  <c r="M11" i="4"/>
  <c r="O11" i="4" s="1"/>
  <c r="P10" i="4"/>
  <c r="N10" i="4"/>
  <c r="M10" i="4"/>
  <c r="O10" i="4" s="1"/>
  <c r="P9" i="4"/>
  <c r="N9" i="4"/>
  <c r="M9" i="4"/>
  <c r="O9" i="4" s="1"/>
  <c r="P8" i="4"/>
  <c r="N8" i="4"/>
  <c r="M8" i="4"/>
  <c r="O8" i="4" s="1"/>
  <c r="P7" i="4"/>
  <c r="N7" i="4"/>
  <c r="M7" i="4"/>
  <c r="O7" i="4" s="1"/>
  <c r="P6" i="4"/>
  <c r="N6" i="4"/>
  <c r="M6" i="4"/>
  <c r="O6" i="4" s="1"/>
  <c r="P5" i="4"/>
  <c r="N5" i="4"/>
  <c r="M5" i="4"/>
  <c r="O5" i="4" s="1"/>
  <c r="I104" i="3"/>
  <c r="G104" i="3"/>
  <c r="I103" i="3"/>
  <c r="G103" i="3"/>
  <c r="I102" i="3"/>
  <c r="G102" i="3"/>
  <c r="I101" i="3"/>
  <c r="G101" i="3"/>
  <c r="I100" i="3"/>
  <c r="G100" i="3"/>
  <c r="I99" i="3"/>
  <c r="G99" i="3"/>
  <c r="F99" i="3"/>
  <c r="I98" i="3"/>
  <c r="G98" i="3"/>
  <c r="I97" i="3"/>
  <c r="G97" i="3"/>
  <c r="I96" i="3"/>
  <c r="J99" i="3" s="1"/>
  <c r="P15" i="3" s="1"/>
  <c r="G96" i="3"/>
  <c r="H99" i="3" s="1"/>
  <c r="O15" i="3" s="1"/>
  <c r="I95" i="3"/>
  <c r="G95" i="3"/>
  <c r="I94" i="3"/>
  <c r="G94" i="3"/>
  <c r="I93" i="3"/>
  <c r="G93" i="3"/>
  <c r="F93" i="3"/>
  <c r="I92" i="3"/>
  <c r="J93" i="3" s="1"/>
  <c r="P14" i="3" s="1"/>
  <c r="G92" i="3"/>
  <c r="H93" i="3" s="1"/>
  <c r="O14" i="3" s="1"/>
  <c r="I91" i="3"/>
  <c r="G91" i="3"/>
  <c r="I90" i="3"/>
  <c r="G90" i="3"/>
  <c r="I89" i="3"/>
  <c r="G89" i="3"/>
  <c r="I88" i="3"/>
  <c r="G88" i="3"/>
  <c r="I87" i="3"/>
  <c r="G87" i="3"/>
  <c r="I86" i="3"/>
  <c r="G86" i="3"/>
  <c r="F86" i="3"/>
  <c r="I85" i="3"/>
  <c r="G85" i="3"/>
  <c r="I84" i="3"/>
  <c r="G84" i="3"/>
  <c r="I83" i="3"/>
  <c r="J86" i="3" s="1"/>
  <c r="P13" i="3" s="1"/>
  <c r="G83" i="3"/>
  <c r="H86" i="3" s="1"/>
  <c r="O13" i="3" s="1"/>
  <c r="I82" i="3"/>
  <c r="G82" i="3"/>
  <c r="I81" i="3"/>
  <c r="G81" i="3"/>
  <c r="I80" i="3"/>
  <c r="G80" i="3"/>
  <c r="F80" i="3"/>
  <c r="I79" i="3"/>
  <c r="J80" i="3" s="1"/>
  <c r="P12" i="3" s="1"/>
  <c r="G79" i="3"/>
  <c r="H80" i="3" s="1"/>
  <c r="O12" i="3" s="1"/>
  <c r="I78" i="3"/>
  <c r="G78" i="3"/>
  <c r="I77" i="3"/>
  <c r="G77" i="3"/>
  <c r="I76" i="3"/>
  <c r="G76" i="3"/>
  <c r="I75" i="3"/>
  <c r="G75" i="3"/>
  <c r="I74" i="3"/>
  <c r="G74" i="3"/>
  <c r="I73" i="3"/>
  <c r="G73" i="3"/>
  <c r="F73" i="3"/>
  <c r="I72" i="3"/>
  <c r="G72" i="3"/>
  <c r="I71" i="3"/>
  <c r="G71" i="3"/>
  <c r="I70" i="3"/>
  <c r="J73" i="3" s="1"/>
  <c r="P11" i="3" s="1"/>
  <c r="G70" i="3"/>
  <c r="H73" i="3" s="1"/>
  <c r="O11" i="3" s="1"/>
  <c r="I69" i="3"/>
  <c r="G69" i="3"/>
  <c r="I68" i="3"/>
  <c r="G68" i="3"/>
  <c r="I67" i="3"/>
  <c r="G67" i="3"/>
  <c r="F67" i="3"/>
  <c r="I66" i="3"/>
  <c r="J67" i="3" s="1"/>
  <c r="P10" i="3" s="1"/>
  <c r="G66" i="3"/>
  <c r="H67" i="3" s="1"/>
  <c r="O10" i="3" s="1"/>
  <c r="I65" i="3"/>
  <c r="G65" i="3"/>
  <c r="I64" i="3"/>
  <c r="G64" i="3"/>
  <c r="I63" i="3"/>
  <c r="G63" i="3"/>
  <c r="I62" i="3"/>
  <c r="G62" i="3"/>
  <c r="I61" i="3"/>
  <c r="G61" i="3"/>
  <c r="I60" i="3"/>
  <c r="G60" i="3"/>
  <c r="F60" i="3"/>
  <c r="I59" i="3"/>
  <c r="G59" i="3"/>
  <c r="I58" i="3"/>
  <c r="G58" i="3"/>
  <c r="I57" i="3"/>
  <c r="J60" i="3" s="1"/>
  <c r="P9" i="3" s="1"/>
  <c r="G57" i="3"/>
  <c r="H60" i="3" s="1"/>
  <c r="O9" i="3" s="1"/>
  <c r="I56" i="3"/>
  <c r="G56" i="3"/>
  <c r="I55" i="3"/>
  <c r="G55" i="3"/>
  <c r="I54" i="3"/>
  <c r="G54" i="3"/>
  <c r="I53" i="3"/>
  <c r="G53" i="3"/>
  <c r="I52" i="3"/>
  <c r="G52" i="3"/>
  <c r="I51" i="3"/>
  <c r="G51" i="3"/>
  <c r="F51" i="3"/>
  <c r="I50" i="3"/>
  <c r="G50" i="3"/>
  <c r="I49" i="3"/>
  <c r="G49" i="3"/>
  <c r="I48" i="3"/>
  <c r="J51" i="3" s="1"/>
  <c r="P8" i="3" s="1"/>
  <c r="G48" i="3"/>
  <c r="H51" i="3" s="1"/>
  <c r="O8" i="3" s="1"/>
  <c r="I47" i="3"/>
  <c r="G47" i="3"/>
  <c r="I46" i="3"/>
  <c r="G46" i="3"/>
  <c r="I45" i="3"/>
  <c r="G45" i="3"/>
  <c r="I44" i="3"/>
  <c r="G44" i="3"/>
  <c r="I43" i="3"/>
  <c r="G43" i="3"/>
  <c r="I42" i="3"/>
  <c r="G42" i="3"/>
  <c r="F42" i="3"/>
  <c r="I41" i="3"/>
  <c r="G41" i="3"/>
  <c r="I40" i="3"/>
  <c r="G40" i="3"/>
  <c r="I39" i="3"/>
  <c r="J42" i="3" s="1"/>
  <c r="P7" i="3" s="1"/>
  <c r="G39" i="3"/>
  <c r="H42" i="3" s="1"/>
  <c r="O7" i="3" s="1"/>
  <c r="I38" i="3"/>
  <c r="G38" i="3"/>
  <c r="I37" i="3"/>
  <c r="G37" i="3"/>
  <c r="I36" i="3"/>
  <c r="G36" i="3"/>
  <c r="I35" i="3"/>
  <c r="G35" i="3"/>
  <c r="I34" i="3"/>
  <c r="G34" i="3"/>
  <c r="I33" i="3"/>
  <c r="G33" i="3"/>
  <c r="F33" i="3"/>
  <c r="I32" i="3"/>
  <c r="G32" i="3"/>
  <c r="I31" i="3"/>
  <c r="G31" i="3"/>
  <c r="I30" i="3"/>
  <c r="J33" i="3" s="1"/>
  <c r="P6" i="3" s="1"/>
  <c r="G30" i="3"/>
  <c r="H33" i="3" s="1"/>
  <c r="O6" i="3" s="1"/>
  <c r="I29" i="3"/>
  <c r="G29" i="3"/>
  <c r="I28" i="3"/>
  <c r="G28" i="3"/>
  <c r="I27" i="3"/>
  <c r="G27" i="3"/>
  <c r="I26" i="3"/>
  <c r="G26" i="3"/>
  <c r="I25" i="3"/>
  <c r="G25" i="3"/>
  <c r="I24" i="3"/>
  <c r="G24" i="3"/>
  <c r="F24" i="3"/>
  <c r="I23" i="3"/>
  <c r="G23" i="3"/>
  <c r="I22" i="3"/>
  <c r="G22" i="3"/>
  <c r="I21" i="3"/>
  <c r="J24" i="3" s="1"/>
  <c r="P5" i="3" s="1"/>
  <c r="G21" i="3"/>
  <c r="H24" i="3" s="1"/>
  <c r="O5" i="3" s="1"/>
  <c r="I20" i="3"/>
  <c r="G20" i="3"/>
  <c r="I19" i="3"/>
  <c r="G19" i="3"/>
  <c r="I18" i="3"/>
  <c r="G18" i="3"/>
  <c r="I17" i="3"/>
  <c r="G17" i="3"/>
  <c r="I16" i="3"/>
  <c r="G16" i="3"/>
  <c r="N15" i="3"/>
  <c r="I15" i="3"/>
  <c r="G15" i="3"/>
  <c r="F15" i="3"/>
  <c r="N14" i="3"/>
  <c r="I14" i="3"/>
  <c r="G14" i="3"/>
  <c r="N13" i="3"/>
  <c r="I13" i="3"/>
  <c r="G13" i="3"/>
  <c r="N12" i="3"/>
  <c r="I12" i="3"/>
  <c r="J15" i="3" s="1"/>
  <c r="P4" i="3" s="1"/>
  <c r="G12" i="3"/>
  <c r="H15" i="3" s="1"/>
  <c r="O4" i="3" s="1"/>
  <c r="N11" i="3"/>
  <c r="I11" i="3"/>
  <c r="G11" i="3"/>
  <c r="N10" i="3"/>
  <c r="I10" i="3"/>
  <c r="G10" i="3"/>
  <c r="N9" i="3"/>
  <c r="I9" i="3"/>
  <c r="G9" i="3"/>
  <c r="N8" i="3"/>
  <c r="I8" i="3"/>
  <c r="G8" i="3"/>
  <c r="N7" i="3"/>
  <c r="I7" i="3"/>
  <c r="G7" i="3"/>
  <c r="N6" i="3"/>
  <c r="I6" i="3"/>
  <c r="G6" i="3"/>
  <c r="F6" i="3"/>
  <c r="N5" i="3"/>
  <c r="I5" i="3"/>
  <c r="G5" i="3"/>
  <c r="N4" i="3"/>
  <c r="I4" i="3"/>
  <c r="G4" i="3"/>
  <c r="N3" i="3"/>
  <c r="I3" i="3"/>
  <c r="J6" i="3" s="1"/>
  <c r="P3" i="3" s="1"/>
  <c r="G3" i="3"/>
  <c r="H6" i="3" s="1"/>
  <c r="O3" i="3" s="1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I99" i="2" s="1"/>
  <c r="F96" i="2"/>
  <c r="G99" i="2" s="1"/>
  <c r="H95" i="2"/>
  <c r="F95" i="2"/>
  <c r="H94" i="2"/>
  <c r="F94" i="2"/>
  <c r="H93" i="2"/>
  <c r="F93" i="2"/>
  <c r="H92" i="2"/>
  <c r="I93" i="2" s="1"/>
  <c r="F92" i="2"/>
  <c r="G93" i="2" s="1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I86" i="2" s="1"/>
  <c r="F83" i="2"/>
  <c r="G86" i="2" s="1"/>
  <c r="H82" i="2"/>
  <c r="F82" i="2"/>
  <c r="H81" i="2"/>
  <c r="F81" i="2"/>
  <c r="H80" i="2"/>
  <c r="F80" i="2"/>
  <c r="H79" i="2"/>
  <c r="I80" i="2" s="1"/>
  <c r="F79" i="2"/>
  <c r="G80" i="2" s="1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H70" i="2"/>
  <c r="I73" i="2" s="1"/>
  <c r="F70" i="2"/>
  <c r="G73" i="2" s="1"/>
  <c r="H69" i="2"/>
  <c r="F69" i="2"/>
  <c r="H68" i="2"/>
  <c r="F68" i="2"/>
  <c r="H67" i="2"/>
  <c r="F67" i="2"/>
  <c r="H66" i="2"/>
  <c r="I67" i="2" s="1"/>
  <c r="F66" i="2"/>
  <c r="G67" i="2" s="1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I60" i="2" s="1"/>
  <c r="F57" i="2"/>
  <c r="G60" i="2" s="1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I51" i="2" s="1"/>
  <c r="F48" i="2"/>
  <c r="G51" i="2" s="1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I42" i="2" s="1"/>
  <c r="F39" i="2"/>
  <c r="G42" i="2" s="1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I33" i="2" s="1"/>
  <c r="F30" i="2"/>
  <c r="G33" i="2" s="1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I24" i="2" s="1"/>
  <c r="F21" i="2"/>
  <c r="G24" i="2" s="1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I15" i="2" s="1"/>
  <c r="F12" i="2"/>
  <c r="G15" i="2" s="1"/>
  <c r="H11" i="2"/>
  <c r="F11" i="2"/>
  <c r="H10" i="2"/>
  <c r="F10" i="2"/>
  <c r="H9" i="2"/>
  <c r="F9" i="2"/>
  <c r="H8" i="2"/>
  <c r="F8" i="2"/>
  <c r="H7" i="2"/>
  <c r="F7" i="2"/>
  <c r="I6" i="2"/>
  <c r="H6" i="2"/>
  <c r="G6" i="2"/>
  <c r="F6" i="2"/>
  <c r="H5" i="2"/>
  <c r="F5" i="2"/>
  <c r="H4" i="2"/>
  <c r="F4" i="2"/>
  <c r="H3" i="2"/>
  <c r="F3" i="2"/>
  <c r="H65" i="1"/>
  <c r="F65" i="1"/>
  <c r="B65" i="1"/>
  <c r="H64" i="1"/>
  <c r="F64" i="1"/>
  <c r="B64" i="1"/>
  <c r="H63" i="1"/>
  <c r="F63" i="1"/>
  <c r="B63" i="1"/>
  <c r="H62" i="1"/>
  <c r="F62" i="1"/>
  <c r="B62" i="1"/>
  <c r="H61" i="1"/>
  <c r="F61" i="1"/>
  <c r="B61" i="1"/>
  <c r="H60" i="1"/>
  <c r="F60" i="1"/>
  <c r="B60" i="1"/>
  <c r="H59" i="1"/>
  <c r="F59" i="1"/>
  <c r="B59" i="1"/>
  <c r="H58" i="1"/>
  <c r="F58" i="1"/>
  <c r="B58" i="1"/>
  <c r="H57" i="1"/>
  <c r="I60" i="1" s="1"/>
  <c r="F57" i="1"/>
  <c r="G60" i="1" s="1"/>
  <c r="B57" i="1"/>
  <c r="H56" i="1"/>
  <c r="F56" i="1"/>
  <c r="B56" i="1"/>
  <c r="H55" i="1"/>
  <c r="F55" i="1"/>
  <c r="B55" i="1"/>
  <c r="H54" i="1"/>
  <c r="F54" i="1"/>
  <c r="B54" i="1"/>
  <c r="H53" i="1"/>
  <c r="F53" i="1"/>
  <c r="B53" i="1"/>
  <c r="H52" i="1"/>
  <c r="F52" i="1"/>
  <c r="B52" i="1"/>
  <c r="H51" i="1"/>
  <c r="F51" i="1"/>
  <c r="B51" i="1"/>
  <c r="H50" i="1"/>
  <c r="F50" i="1"/>
  <c r="B50" i="1"/>
  <c r="H49" i="1"/>
  <c r="F49" i="1"/>
  <c r="B49" i="1"/>
  <c r="H48" i="1"/>
  <c r="I51" i="1" s="1"/>
  <c r="F48" i="1"/>
  <c r="G51" i="1" s="1"/>
  <c r="B48" i="1"/>
  <c r="H47" i="1"/>
  <c r="F47" i="1"/>
  <c r="B47" i="1"/>
  <c r="H46" i="1"/>
  <c r="F46" i="1"/>
  <c r="B46" i="1"/>
  <c r="H45" i="1"/>
  <c r="F45" i="1"/>
  <c r="B45" i="1"/>
  <c r="H44" i="1"/>
  <c r="F44" i="1"/>
  <c r="B44" i="1"/>
  <c r="H43" i="1"/>
  <c r="F43" i="1"/>
  <c r="B43" i="1"/>
  <c r="H42" i="1"/>
  <c r="F42" i="1"/>
  <c r="B42" i="1"/>
  <c r="H41" i="1"/>
  <c r="F41" i="1"/>
  <c r="B41" i="1"/>
  <c r="H40" i="1"/>
  <c r="F40" i="1"/>
  <c r="B40" i="1"/>
  <c r="H39" i="1"/>
  <c r="I42" i="1" s="1"/>
  <c r="F39" i="1"/>
  <c r="G42" i="1" s="1"/>
  <c r="B39" i="1"/>
  <c r="H38" i="1"/>
  <c r="F38" i="1"/>
  <c r="B38" i="1"/>
  <c r="H37" i="1"/>
  <c r="F37" i="1"/>
  <c r="B37" i="1"/>
  <c r="H36" i="1"/>
  <c r="F36" i="1"/>
  <c r="B36" i="1"/>
  <c r="H35" i="1"/>
  <c r="F35" i="1"/>
  <c r="B35" i="1"/>
  <c r="H34" i="1"/>
  <c r="F34" i="1"/>
  <c r="B34" i="1"/>
  <c r="H33" i="1"/>
  <c r="F33" i="1"/>
  <c r="B33" i="1"/>
  <c r="H32" i="1"/>
  <c r="F32" i="1"/>
  <c r="B32" i="1"/>
  <c r="H31" i="1"/>
  <c r="F31" i="1"/>
  <c r="B31" i="1"/>
  <c r="H30" i="1"/>
  <c r="I33" i="1" s="1"/>
  <c r="F30" i="1"/>
  <c r="G33" i="1" s="1"/>
  <c r="B30" i="1"/>
  <c r="H29" i="1"/>
  <c r="F29" i="1"/>
  <c r="B29" i="1"/>
  <c r="H28" i="1"/>
  <c r="F28" i="1"/>
  <c r="B28" i="1"/>
  <c r="H27" i="1"/>
  <c r="F27" i="1"/>
  <c r="B27" i="1"/>
  <c r="H26" i="1"/>
  <c r="F26" i="1"/>
  <c r="B26" i="1"/>
  <c r="H25" i="1"/>
  <c r="F25" i="1"/>
  <c r="B25" i="1"/>
  <c r="H24" i="1"/>
  <c r="F24" i="1"/>
  <c r="B24" i="1"/>
  <c r="H23" i="1"/>
  <c r="F23" i="1"/>
  <c r="B23" i="1"/>
  <c r="H22" i="1"/>
  <c r="F22" i="1"/>
  <c r="B22" i="1"/>
  <c r="H21" i="1"/>
  <c r="I24" i="1" s="1"/>
  <c r="F21" i="1"/>
  <c r="G24" i="1" s="1"/>
  <c r="B21" i="1"/>
  <c r="H20" i="1"/>
  <c r="F20" i="1"/>
  <c r="B20" i="1"/>
  <c r="H19" i="1"/>
  <c r="F19" i="1"/>
  <c r="B19" i="1"/>
  <c r="H18" i="1"/>
  <c r="F18" i="1"/>
  <c r="B18" i="1"/>
  <c r="H17" i="1"/>
  <c r="F17" i="1"/>
  <c r="B17" i="1"/>
  <c r="H16" i="1"/>
  <c r="F16" i="1"/>
  <c r="B16" i="1"/>
  <c r="H15" i="1"/>
  <c r="F15" i="1"/>
  <c r="B15" i="1"/>
  <c r="H14" i="1"/>
  <c r="F14" i="1"/>
  <c r="B14" i="1"/>
  <c r="H13" i="1"/>
  <c r="F13" i="1"/>
  <c r="B13" i="1"/>
  <c r="H12" i="1"/>
  <c r="I15" i="1" s="1"/>
  <c r="F12" i="1"/>
  <c r="G15" i="1" s="1"/>
  <c r="B12" i="1"/>
  <c r="H11" i="1"/>
  <c r="F11" i="1"/>
  <c r="B11" i="1"/>
  <c r="H10" i="1"/>
  <c r="F10" i="1"/>
  <c r="B10" i="1"/>
  <c r="H9" i="1"/>
  <c r="F9" i="1"/>
  <c r="B9" i="1"/>
  <c r="H8" i="1"/>
  <c r="F8" i="1"/>
  <c r="B8" i="1"/>
  <c r="H7" i="1"/>
  <c r="F7" i="1"/>
  <c r="B7" i="1"/>
  <c r="H6" i="1"/>
  <c r="F6" i="1"/>
  <c r="B6" i="1"/>
  <c r="H5" i="1"/>
  <c r="F5" i="1"/>
  <c r="B5" i="1"/>
  <c r="H4" i="1"/>
  <c r="F4" i="1"/>
  <c r="B4" i="1"/>
  <c r="H3" i="1"/>
  <c r="I6" i="1" s="1"/>
  <c r="F3" i="1"/>
  <c r="G6" i="1" s="1"/>
  <c r="B3" i="1"/>
  <c r="I83" i="9"/>
  <c r="G83" i="9"/>
  <c r="I82" i="9"/>
  <c r="G82" i="9"/>
  <c r="I81" i="9"/>
  <c r="G81" i="9"/>
  <c r="J80" i="9"/>
  <c r="P14" i="9" s="1"/>
  <c r="I80" i="9"/>
  <c r="G80" i="9"/>
  <c r="F80" i="9"/>
  <c r="I79" i="9"/>
  <c r="G79" i="9"/>
  <c r="H80" i="9" s="1"/>
  <c r="O14" i="9" s="1"/>
  <c r="I78" i="9"/>
  <c r="G78" i="9"/>
  <c r="I77" i="9"/>
  <c r="G77" i="9"/>
  <c r="I76" i="9"/>
  <c r="G76" i="9"/>
  <c r="I75" i="9"/>
  <c r="G75" i="9"/>
  <c r="I74" i="9"/>
  <c r="G74" i="9"/>
  <c r="I73" i="9"/>
  <c r="G73" i="9"/>
  <c r="F73" i="9"/>
  <c r="I72" i="9"/>
  <c r="G72" i="9"/>
  <c r="I71" i="9"/>
  <c r="G71" i="9"/>
  <c r="I70" i="9"/>
  <c r="J73" i="9" s="1"/>
  <c r="P13" i="9" s="1"/>
  <c r="G70" i="9"/>
  <c r="H73" i="9" s="1"/>
  <c r="O13" i="9" s="1"/>
  <c r="I69" i="9"/>
  <c r="G69" i="9"/>
  <c r="I68" i="9"/>
  <c r="G68" i="9"/>
  <c r="I67" i="9"/>
  <c r="G67" i="9"/>
  <c r="F67" i="9"/>
  <c r="I66" i="9"/>
  <c r="J67" i="9" s="1"/>
  <c r="P12" i="9" s="1"/>
  <c r="G66" i="9"/>
  <c r="H67" i="9" s="1"/>
  <c r="O12" i="9" s="1"/>
  <c r="I65" i="9"/>
  <c r="G65" i="9"/>
  <c r="I64" i="9"/>
  <c r="G64" i="9"/>
  <c r="I63" i="9"/>
  <c r="G63" i="9"/>
  <c r="I62" i="9"/>
  <c r="G62" i="9"/>
  <c r="I61" i="9"/>
  <c r="G61" i="9"/>
  <c r="I60" i="9"/>
  <c r="G60" i="9"/>
  <c r="F60" i="9"/>
  <c r="I59" i="9"/>
  <c r="G59" i="9"/>
  <c r="I58" i="9"/>
  <c r="G58" i="9"/>
  <c r="I57" i="9"/>
  <c r="G57" i="9"/>
  <c r="H60" i="9" s="1"/>
  <c r="O11" i="9" s="1"/>
  <c r="I56" i="9"/>
  <c r="G56" i="9"/>
  <c r="I55" i="9"/>
  <c r="G55" i="9"/>
  <c r="I54" i="9"/>
  <c r="G54" i="9"/>
  <c r="I53" i="9"/>
  <c r="G53" i="9"/>
  <c r="I52" i="9"/>
  <c r="G52" i="9"/>
  <c r="I51" i="9"/>
  <c r="G51" i="9"/>
  <c r="F51" i="9"/>
  <c r="I50" i="9"/>
  <c r="G50" i="9"/>
  <c r="I49" i="9"/>
  <c r="G49" i="9"/>
  <c r="I48" i="9"/>
  <c r="J51" i="9" s="1"/>
  <c r="P10" i="9" s="1"/>
  <c r="G48" i="9"/>
  <c r="H51" i="9" s="1"/>
  <c r="O10" i="9" s="1"/>
  <c r="I47" i="9"/>
  <c r="G47" i="9"/>
  <c r="I46" i="9"/>
  <c r="G46" i="9"/>
  <c r="I45" i="9"/>
  <c r="G45" i="9"/>
  <c r="I44" i="9"/>
  <c r="G44" i="9"/>
  <c r="I43" i="9"/>
  <c r="G43" i="9"/>
  <c r="I42" i="9"/>
  <c r="G42" i="9"/>
  <c r="F42" i="9"/>
  <c r="I41" i="9"/>
  <c r="G41" i="9"/>
  <c r="I40" i="9"/>
  <c r="G40" i="9"/>
  <c r="I39" i="9"/>
  <c r="J42" i="9" s="1"/>
  <c r="P9" i="9" s="1"/>
  <c r="G39" i="9"/>
  <c r="I38" i="9"/>
  <c r="G38" i="9"/>
  <c r="I37" i="9"/>
  <c r="G37" i="9"/>
  <c r="I36" i="9"/>
  <c r="G36" i="9"/>
  <c r="I35" i="9"/>
  <c r="G35" i="9"/>
  <c r="I34" i="9"/>
  <c r="G34" i="9"/>
  <c r="I33" i="9"/>
  <c r="G33" i="9"/>
  <c r="F33" i="9"/>
  <c r="I32" i="9"/>
  <c r="G32" i="9"/>
  <c r="I31" i="9"/>
  <c r="G31" i="9"/>
  <c r="I30" i="9"/>
  <c r="J33" i="9" s="1"/>
  <c r="P8" i="9" s="1"/>
  <c r="G30" i="9"/>
  <c r="H33" i="9" s="1"/>
  <c r="O8" i="9" s="1"/>
  <c r="I29" i="9"/>
  <c r="G29" i="9"/>
  <c r="I28" i="9"/>
  <c r="G28" i="9"/>
  <c r="I27" i="9"/>
  <c r="G27" i="9"/>
  <c r="I26" i="9"/>
  <c r="G26" i="9"/>
  <c r="I25" i="9"/>
  <c r="G25" i="9"/>
  <c r="I24" i="9"/>
  <c r="G24" i="9"/>
  <c r="F24" i="9"/>
  <c r="I23" i="9"/>
  <c r="G23" i="9"/>
  <c r="I22" i="9"/>
  <c r="G22" i="9"/>
  <c r="I21" i="9"/>
  <c r="G21" i="9"/>
  <c r="H24" i="9" s="1"/>
  <c r="O7" i="9" s="1"/>
  <c r="I20" i="9"/>
  <c r="G20" i="9"/>
  <c r="I19" i="9"/>
  <c r="G19" i="9"/>
  <c r="I18" i="9"/>
  <c r="G18" i="9"/>
  <c r="I17" i="9"/>
  <c r="G17" i="9"/>
  <c r="I16" i="9"/>
  <c r="G16" i="9"/>
  <c r="I15" i="9"/>
  <c r="G15" i="9"/>
  <c r="F15" i="9"/>
  <c r="I14" i="9"/>
  <c r="G14" i="9"/>
  <c r="I13" i="9"/>
  <c r="G13" i="9"/>
  <c r="I12" i="9"/>
  <c r="J15" i="9" s="1"/>
  <c r="P4" i="9" s="1"/>
  <c r="G12" i="9"/>
  <c r="H15" i="9" s="1"/>
  <c r="O4" i="9" s="1"/>
  <c r="I11" i="9"/>
  <c r="G11" i="9"/>
  <c r="I10" i="9"/>
  <c r="G10" i="9"/>
  <c r="I9" i="9"/>
  <c r="G9" i="9"/>
  <c r="I8" i="9"/>
  <c r="G8" i="9"/>
  <c r="I7" i="9"/>
  <c r="G7" i="9"/>
  <c r="I6" i="9"/>
  <c r="G6" i="9"/>
  <c r="F6" i="9"/>
  <c r="I5" i="9"/>
  <c r="G5" i="9"/>
  <c r="I4" i="9"/>
  <c r="G4" i="9"/>
  <c r="I3" i="9"/>
  <c r="J6" i="9" s="1"/>
  <c r="P3" i="9" s="1"/>
  <c r="G3" i="9"/>
  <c r="H6" i="9" s="1"/>
  <c r="O3" i="9" s="1"/>
  <c r="AE69" i="9" l="1"/>
  <c r="Q10" i="9" s="1"/>
  <c r="R10" i="9" s="1"/>
  <c r="H42" i="9"/>
  <c r="O9" i="9" s="1"/>
  <c r="J24" i="9"/>
  <c r="P7" i="9" s="1"/>
  <c r="J60" i="9"/>
  <c r="P11" i="9" s="1"/>
</calcChain>
</file>

<file path=xl/sharedStrings.xml><?xml version="1.0" encoding="utf-8"?>
<sst xmlns="http://schemas.openxmlformats.org/spreadsheetml/2006/main" count="329" uniqueCount="91">
  <si>
    <t>INPUT</t>
  </si>
  <si>
    <t>OUTPUT</t>
  </si>
  <si>
    <t>frequency (Hz)</t>
  </si>
  <si>
    <t>Harmonic #</t>
  </si>
  <si>
    <t>Amplitude (dB)</t>
  </si>
  <si>
    <t>Amplitude (dBc)</t>
  </si>
  <si>
    <t>Input Amplitude (dB)</t>
  </si>
  <si>
    <t>Amplitude 
RMS (V)</t>
  </si>
  <si>
    <t>THD (dB)</t>
  </si>
  <si>
    <t>Amplitude 
RMS rel. (V)</t>
  </si>
  <si>
    <t>+-18 VDC</t>
  </si>
  <si>
    <t>Board_2</t>
  </si>
  <si>
    <t>fundamental
 frequency (Hz)</t>
  </si>
  <si>
    <t>Gain</t>
  </si>
  <si>
    <t>BW90kHz</t>
  </si>
  <si>
    <t>Date</t>
  </si>
  <si>
    <t>PWR</t>
  </si>
  <si>
    <t>+/- 18 VDC</t>
  </si>
  <si>
    <t>Phase</t>
  </si>
  <si>
    <t>Ch1: IN</t>
  </si>
  <si>
    <t>Ch2: OUT</t>
  </si>
  <si>
    <t>Ch1: OUT</t>
  </si>
  <si>
    <t>Ch2: IN</t>
  </si>
  <si>
    <t>Ch1</t>
  </si>
  <si>
    <t>Ch2</t>
  </si>
  <si>
    <t>X</t>
  </si>
  <si>
    <t>Y</t>
  </si>
  <si>
    <t>Hz</t>
  </si>
  <si>
    <t>dB</t>
  </si>
  <si>
    <t>freq (Hz)</t>
  </si>
  <si>
    <t>V_out (V)</t>
  </si>
  <si>
    <t>V_in (V)</t>
  </si>
  <si>
    <t>GAIN</t>
  </si>
  <si>
    <t>GAIN (dB)</t>
  </si>
  <si>
    <t>deg</t>
  </si>
  <si>
    <t>"Summary: Signal Path1.Signal Path Setup.Gain"</t>
  </si>
  <si>
    <t>"Summary: Signal Path1.Signal Path Setup.Phase"</t>
  </si>
  <si>
    <t>Channel</t>
  </si>
  <si>
    <t>"Passed Lower Limit"</t>
  </si>
  <si>
    <t>"Passed Upper Limit"</t>
  </si>
  <si>
    <t>N/A</t>
  </si>
  <si>
    <t>PWR by BATTERY</t>
  </si>
  <si>
    <t>PM12V</t>
  </si>
  <si>
    <t>fo</t>
  </si>
  <si>
    <t>2fo</t>
  </si>
  <si>
    <t>3fo</t>
  </si>
  <si>
    <t>4fo</t>
  </si>
  <si>
    <t>5fo</t>
  </si>
  <si>
    <t>THD</t>
  </si>
  <si>
    <t>5 kHz</t>
  </si>
  <si>
    <t>7 V RMS</t>
  </si>
  <si>
    <t>6.5 V RMS</t>
  </si>
  <si>
    <t>dBc</t>
  </si>
  <si>
    <t>6 V RMS</t>
  </si>
  <si>
    <t>5.5 V RMS</t>
  </si>
  <si>
    <t>5 V RMS</t>
  </si>
  <si>
    <t>4.5 V RMS</t>
  </si>
  <si>
    <t>4 V RMS</t>
  </si>
  <si>
    <t>3.5 V RMS</t>
  </si>
  <si>
    <t>3 V RMS</t>
  </si>
  <si>
    <t>2.5 V RMS</t>
  </si>
  <si>
    <t>2 V RMS</t>
  </si>
  <si>
    <t>1.5 V RMS</t>
  </si>
  <si>
    <t>1 V RMS</t>
  </si>
  <si>
    <t>Board_1</t>
  </si>
  <si>
    <t>10kHz</t>
  </si>
  <si>
    <t>1.2 V RMS</t>
  </si>
  <si>
    <t>1.1 V RMS</t>
  </si>
  <si>
    <t>50 kHz</t>
  </si>
  <si>
    <t>0.5 V RMS</t>
  </si>
  <si>
    <t>20kHz</t>
  </si>
  <si>
    <t>0.8 V RMS</t>
  </si>
  <si>
    <t>0.3 V RMS</t>
  </si>
  <si>
    <t>0.4 V RMS</t>
  </si>
  <si>
    <t>DC - 250 k</t>
  </si>
  <si>
    <t>100 kHz</t>
  </si>
  <si>
    <t>DC-500k</t>
  </si>
  <si>
    <t>"THD+N Level"</t>
  </si>
  <si>
    <t>Ch2:OUT</t>
  </si>
  <si>
    <t>dBV</t>
  </si>
  <si>
    <t>"Summary: Signal Path1.Signal Path Setup.THD+N Level"</t>
  </si>
  <si>
    <t>PM18V</t>
  </si>
  <si>
    <t>7.071 VRMS</t>
  </si>
  <si>
    <t xml:space="preserve">  v                                        </t>
  </si>
  <si>
    <t>fo (Hz)</t>
  </si>
  <si>
    <t>COPA V2</t>
  </si>
  <si>
    <t>Luis</t>
  </si>
  <si>
    <t>COPA V1</t>
  </si>
  <si>
    <t>Diff (dB)</t>
  </si>
  <si>
    <t>96 kSa</t>
  </si>
  <si>
    <t>48 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</si>
</sst>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0000"/>
    <numFmt numFmtId="167" formatCode="000"/>
    <numFmt numFmtId="168" formatCode="0000"/>
    <numFmt numFmtId="169" formatCode="00.00"/>
    <numFmt numFmtId="170" formatCode="0.0000"/>
    <numFmt numFmtId="171" formatCode="dd/mm/yyyy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EBF1DC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EBF1DC"/>
        <bgColor rgb="FFFFFFFF"/>
      </patternFill>
    </fill>
    <fill>
      <patternFill patternType="solid">
        <fgColor rgb="FFDCE6F1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  <fill>
      <patternFill patternType="none"/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" fontId="0" fillId="2" borderId="1" xfId="0" applyNumberFormat="1" applyFill="1" applyBorder="1"/>
    <xf numFmtId="0" fontId="0" fillId="2" borderId="1" xfId="0" applyFill="1" applyBorder="1"/>
    <xf numFmtId="2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0" xfId="0" applyNumberFormat="1"/>
    <xf numFmtId="165" fontId="0" fillId="3" borderId="2" xfId="0" applyNumberFormat="1" applyFill="1" applyBorder="1"/>
    <xf numFmtId="0" fontId="0" fillId="3" borderId="2" xfId="0" applyFill="1" applyBorder="1"/>
    <xf numFmtId="166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3" xfId="0" applyNumberFormat="1" applyBorder="1"/>
    <xf numFmtId="0" fontId="0" fillId="0" borderId="3" xfId="0" applyBorder="1"/>
    <xf numFmtId="167" fontId="0" fillId="2" borderId="1" xfId="0" applyNumberFormat="1" applyFill="1" applyBorder="1"/>
    <xf numFmtId="168" fontId="0" fillId="2" borderId="1" xfId="0" applyNumberFormat="1" applyFill="1" applyBorder="1"/>
    <xf numFmtId="168" fontId="0" fillId="0" borderId="0" xfId="0" applyNumberFormat="1"/>
    <xf numFmtId="166" fontId="0" fillId="2" borderId="1" xfId="0" applyNumberFormat="1" applyFill="1" applyBorder="1"/>
    <xf numFmtId="167" fontId="0" fillId="0" borderId="0" xfId="0" applyNumberFormat="1"/>
    <xf numFmtId="169" fontId="0" fillId="2" borderId="1" xfId="0" applyNumberFormat="1" applyFill="1" applyBorder="1"/>
    <xf numFmtId="0" fontId="1" fillId="4" borderId="4" xfId="0" applyFont="1" applyFill="1" applyBorder="1"/>
    <xf numFmtId="170" fontId="0" fillId="2" borderId="1" xfId="0" applyNumberFormat="1" applyFill="1" applyBorder="1"/>
    <xf numFmtId="0" fontId="0" fillId="5" borderId="5" xfId="0" applyFill="1" applyBorder="1"/>
    <xf numFmtId="170" fontId="0" fillId="6" borderId="6" xfId="0" applyNumberFormat="1" applyFill="1" applyBorder="1"/>
    <xf numFmtId="165" fontId="0" fillId="7" borderId="7" xfId="0" applyNumberFormat="1" applyFill="1" applyBorder="1"/>
    <xf numFmtId="170" fontId="0" fillId="0" borderId="0" xfId="0" applyNumberFormat="1"/>
    <xf numFmtId="0" fontId="0" fillId="0" borderId="8" xfId="0" applyBorder="1"/>
    <xf numFmtId="170" fontId="0" fillId="0" borderId="9" xfId="0" applyNumberFormat="1" applyBorder="1"/>
    <xf numFmtId="165" fontId="0" fillId="0" borderId="10" xfId="0" applyNumberFormat="1" applyBorder="1"/>
    <xf numFmtId="2" fontId="0" fillId="3" borderId="2" xfId="0" applyNumberFormat="1" applyFill="1" applyBorder="1"/>
    <xf numFmtId="170" fontId="0" fillId="3" borderId="2" xfId="0" applyNumberFormat="1" applyFill="1" applyBorder="1"/>
    <xf numFmtId="164" fontId="0" fillId="0" borderId="3" xfId="0" applyNumberFormat="1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2" fontId="0" fillId="0" borderId="3" xfId="0" applyNumberFormat="1" applyBorder="1"/>
    <xf numFmtId="1" fontId="0" fillId="2" borderId="1" xfId="0" applyNumberFormat="1" applyFill="1" applyBorder="1" applyAlignment="1">
      <alignment horizontal="center"/>
    </xf>
    <xf numFmtId="170" fontId="0" fillId="0" borderId="3" xfId="0" applyNumberFormat="1" applyBorder="1"/>
    <xf numFmtId="1" fontId="0" fillId="0" borderId="3" xfId="0" applyNumberFormat="1" applyBorder="1"/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8" borderId="11" xfId="0" applyFill="1" applyBorder="1"/>
    <xf numFmtId="171" fontId="0" fillId="8" borderId="11" xfId="0" applyNumberFormat="1" applyFill="1" applyBorder="1"/>
    <xf numFmtId="0" fontId="1" fillId="0" borderId="0" xfId="0" applyFont="1"/>
    <xf numFmtId="3" fontId="0" fillId="0" borderId="0" xfId="0" applyNumberFormat="1"/>
    <xf numFmtId="0" fontId="0" fillId="9" borderId="12" xfId="0" applyFill="1" applyBorder="1"/>
    <xf numFmtId="11" fontId="0" fillId="0" borderId="0" xfId="0" applyNumberFormat="1"/>
    <xf numFmtId="0" fontId="0" fillId="10" borderId="13" xfId="0" applyFill="1" applyBorder="1"/>
    <xf numFmtId="165" fontId="0" fillId="10" borderId="13" xfId="0" applyNumberFormat="1" applyFill="1" applyBorder="1"/>
    <xf numFmtId="171" fontId="0" fillId="0" borderId="0" xfId="0" applyNumberFormat="1"/>
    <xf numFmtId="0" fontId="0" fillId="11" borderId="14" xfId="0" applyFill="1" applyBorder="1"/>
    <xf numFmtId="165" fontId="0" fillId="11" borderId="14" xfId="0" applyNumberFormat="1" applyFill="1" applyBorder="1"/>
    <xf numFmtId="0" fontId="1" fillId="12" borderId="15" xfId="0" applyFont="1" applyFill="1" applyBorder="1"/>
    <xf numFmtId="0" fontId="1" fillId="13" borderId="16" xfId="0" applyFont="1" applyFill="1" applyBorder="1"/>
    <xf numFmtId="171" fontId="1" fillId="9" borderId="12" xfId="0" applyNumberFormat="1" applyFont="1" applyFill="1" applyBorder="1"/>
    <xf numFmtId="2" fontId="0" fillId="10" borderId="13" xfId="0" applyNumberFormat="1" applyFill="1" applyBorder="1"/>
    <xf numFmtId="2" fontId="0" fillId="11" borderId="14" xfId="0" applyNumberFormat="1" applyFill="1" applyBorder="1"/>
    <xf numFmtId="1" fontId="0" fillId="0" borderId="0" xfId="0" applyNumberFormat="1" applyAlignment="1">
      <alignment horizontal="center"/>
    </xf>
    <xf numFmtId="0" fontId="0" fillId="14" borderId="17" xfId="0" applyFill="1" applyBorder="1"/>
    <xf numFmtId="1" fontId="0" fillId="14" borderId="17" xfId="0" applyNumberFormat="1" applyFill="1" applyBorder="1"/>
    <xf numFmtId="165" fontId="0" fillId="14" borderId="17" xfId="0" applyNumberFormat="1" applyFill="1" applyBorder="1"/>
    <xf numFmtId="164" fontId="0" fillId="14" borderId="17" xfId="0" applyNumberFormat="1" applyFill="1" applyBorder="1" applyAlignment="1">
      <alignment horizontal="center"/>
    </xf>
    <xf numFmtId="170" fontId="0" fillId="14" borderId="17" xfId="0" applyNumberFormat="1" applyFill="1" applyBorder="1"/>
    <xf numFmtId="0" fontId="1" fillId="16" borderId="19" xfId="0" applyFont="1" applyFill="1" applyBorder="1"/>
    <xf numFmtId="14" fontId="0" fillId="0" borderId="0" xfId="0" applyNumberFormat="1"/>
    <xf numFmtId="0" fontId="0" fillId="17" borderId="18" xfId="0" applyFill="1" applyBorder="1"/>
    <xf numFmtId="0" fontId="0" fillId="18" borderId="1" xfId="0" applyFill="1" applyBorder="1"/>
    <xf numFmtId="164" fontId="0" fillId="18" borderId="1" xfId="0" applyNumberFormat="1" applyFill="1" applyBorder="1"/>
    <xf numFmtId="0" fontId="0" fillId="19" borderId="0" xfId="0" applyFill="1"/>
    <xf numFmtId="165" fontId="0" fillId="19" borderId="0" xfId="0" applyNumberFormat="1" applyFill="1"/>
    <xf numFmtId="0" fontId="0" fillId="19" borderId="8" xfId="0" applyFill="1" applyBorder="1"/>
    <xf numFmtId="165" fontId="0" fillId="19" borderId="10" xfId="0" applyNumberFormat="1" applyFill="1" applyBorder="1"/>
    <xf numFmtId="165" fontId="0" fillId="19" borderId="3" xfId="0" applyNumberFormat="1" applyFill="1" applyBorder="1"/>
    <xf numFmtId="0" fontId="0" fillId="0" borderId="18" xfId="0" applyBorder="1"/>
    <xf numFmtId="0" fontId="0" fillId="17" borderId="0" xfId="0" applyFill="1"/>
    <xf numFmtId="165" fontId="0" fillId="0" borderId="20" xfId="0" applyNumberFormat="1" applyBorder="1"/>
    <xf numFmtId="0" fontId="0" fillId="0" borderId="20" xfId="0" applyBorder="1"/>
    <xf numFmtId="0" fontId="1" fillId="0" borderId="20" xfId="0" applyFont="1" applyBorder="1" applyAlignment="1">
      <alignment horizontal="center" vertical="center"/>
    </xf>
    <xf numFmtId="171" fontId="0" fillId="15" borderId="19" xfId="0" applyNumberFormat="1" applyFill="1" applyBorder="1"/>
    <xf numFmtId="0" fontId="0" fillId="0" borderId="20" xfId="0" applyBorder="1" applyAlignment="1">
      <alignment horizontal="center" vertical="center"/>
    </xf>
    <xf numFmtId="170" fontId="1" fillId="0" borderId="20" xfId="0" applyNumberFormat="1" applyFont="1" applyBorder="1" applyAlignment="1">
      <alignment horizontal="center" vertical="center"/>
    </xf>
    <xf numFmtId="0" fontId="1" fillId="17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164" fontId="0" fillId="0" borderId="20" xfId="0" applyNumberFormat="1" applyBorder="1"/>
    <xf numFmtId="1" fontId="0" fillId="0" borderId="20" xfId="0" applyNumberFormat="1" applyBorder="1"/>
    <xf numFmtId="0" fontId="0" fillId="19" borderId="18" xfId="0" applyFill="1" applyBorder="1"/>
    <xf numFmtId="0" fontId="0" fillId="20" borderId="18" xfId="0" applyFill="1" applyBorder="1"/>
    <xf numFmtId="0" fontId="0" fillId="20" borderId="0" xfId="0" applyFill="1"/>
    <xf numFmtId="165" fontId="0" fillId="20" borderId="0" xfId="0" applyNumberFormat="1" applyFill="1"/>
    <xf numFmtId="0" fontId="0" fillId="20" borderId="8" xfId="0" applyFill="1" applyBorder="1"/>
    <xf numFmtId="165" fontId="0" fillId="20" borderId="10" xfId="0" applyNumberFormat="1" applyFill="1" applyBorder="1"/>
    <xf numFmtId="165" fontId="0" fillId="20" borderId="3" xfId="0" applyNumberFormat="1" applyFill="1" applyBorder="1"/>
    <xf numFmtId="2" fontId="0" fillId="0" borderId="20" xfId="0" applyNumberFormat="1" applyBorder="1"/>
    <xf numFmtId="0" fontId="1" fillId="21" borderId="20" xfId="0" applyFont="1" applyFill="1" applyBorder="1"/>
    <xf numFmtId="0" fontId="1" fillId="21" borderId="20" xfId="0" applyFont="1" applyFill="1" applyBorder="1" applyAlignment="1">
      <alignment horizontal="center" vertical="center"/>
    </xf>
    <xf numFmtId="0" fontId="1" fillId="21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2" borderId="0" xfId="0" applyFill="1"/>
    <xf numFmtId="165" fontId="0" fillId="22" borderId="0" xfId="0" applyNumberFormat="1" applyFill="1"/>
    <xf numFmtId="165" fontId="0" fillId="22" borderId="3" xfId="0" applyNumberFormat="1" applyFill="1" applyBorder="1"/>
    <xf numFmtId="0" fontId="0" fillId="0" borderId="0" xfId="0" applyFill="1"/>
    <xf numFmtId="165" fontId="0" fillId="0" borderId="0" xfId="0" applyNumberFormat="1" applyFill="1"/>
    <xf numFmtId="0" fontId="0" fillId="0" borderId="8" xfId="0" applyFill="1" applyBorder="1"/>
    <xf numFmtId="165" fontId="0" fillId="0" borderId="10" xfId="0" applyNumberFormat="1" applyFill="1" applyBorder="1"/>
    <xf numFmtId="165" fontId="0" fillId="0" borderId="3" xfId="0" applyNumberFormat="1" applyFill="1" applyBorder="1"/>
    <xf numFmtId="170" fontId="0" fillId="0" borderId="20" xfId="0" applyNumberFormat="1" applyBorder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18658177" count="1">
        <pm:charStyle name="Normal" fontId="0" Id="1"/>
      </pm:charStyles>
      <pm:colors xmlns:pm="smNativeData" id="1718658177" count="2">
        <pm:color name="Color 24" rgb="EBF1DC"/>
        <pm:color name="Color 25" rgb="DCE6F1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Harmonic Amplitude (dBc)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kHz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'20241007'!$B$3:$B$11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1.9998461776649508</c:v>
                </c:pt>
                <c:pt idx="2">
                  <c:v>2.9998461776649505</c:v>
                </c:pt>
                <c:pt idx="3">
                  <c:v>3.999846177664951</c:v>
                </c:pt>
                <c:pt idx="4">
                  <c:v>4.9998461786647974</c:v>
                </c:pt>
                <c:pt idx="5">
                  <c:v>6.0010767583450351</c:v>
                </c:pt>
                <c:pt idx="6">
                  <c:v>6.9996923563297484</c:v>
                </c:pt>
                <c:pt idx="7">
                  <c:v>7.9998461786647956</c:v>
                </c:pt>
                <c:pt idx="8">
                  <c:v>9.0012305816799305</c:v>
                </c:pt>
              </c:numCache>
            </c:numRef>
          </c:xVal>
          <c:yVal>
            <c:numRef>
              <c:f>'20241007'!$D$3:$D$11</c:f>
              <c:numCache>
                <c:formatCode>0.000</c:formatCode>
                <c:ptCount val="9"/>
                <c:pt idx="0" formatCode="0.0">
                  <c:v>0</c:v>
                </c:pt>
                <c:pt idx="1">
                  <c:v>-129.747254</c:v>
                </c:pt>
                <c:pt idx="2">
                  <c:v>-124.34999800000001</c:v>
                </c:pt>
                <c:pt idx="3">
                  <c:v>-147.553629</c:v>
                </c:pt>
                <c:pt idx="4" formatCode="0.00">
                  <c:v>-138.97916000000001</c:v>
                </c:pt>
                <c:pt idx="5">
                  <c:v>-165.64550299999999</c:v>
                </c:pt>
                <c:pt idx="6">
                  <c:v>-148.38689099999999</c:v>
                </c:pt>
                <c:pt idx="7">
                  <c:v>-165.59942100000001</c:v>
                </c:pt>
                <c:pt idx="8">
                  <c:v>-166.05171100000001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AEAA-4253-9E28-C915D02A494B}"/>
            </c:ext>
          </c:extLst>
        </c:ser>
        <c:ser>
          <c:idx val="1"/>
          <c:order val="1"/>
          <c:tx>
            <c:v>10 kHz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'20241007'!$B$12:$B$20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1.9999846176665135</c:v>
                </c:pt>
                <c:pt idx="2">
                  <c:v>2.9999846175665286</c:v>
                </c:pt>
                <c:pt idx="3">
                  <c:v>3.999969235333027</c:v>
                </c:pt>
                <c:pt idx="4">
                  <c:v>4.9999692352330429</c:v>
                </c:pt>
                <c:pt idx="5">
                  <c:v>5.999969235233042</c:v>
                </c:pt>
                <c:pt idx="6">
                  <c:v>6.999969235133058</c:v>
                </c:pt>
                <c:pt idx="7">
                  <c:v>7.9999846173665592</c:v>
                </c:pt>
                <c:pt idx="8">
                  <c:v>8.9999999996000604</c:v>
                </c:pt>
              </c:numCache>
            </c:numRef>
          </c:xVal>
          <c:yVal>
            <c:numRef>
              <c:f>'20241007'!$D$12:$D$20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-104.324173</c:v>
                </c:pt>
                <c:pt idx="2" formatCode="0.00">
                  <c:v>-100.28037</c:v>
                </c:pt>
                <c:pt idx="3">
                  <c:v>-131.214078</c:v>
                </c:pt>
                <c:pt idx="4">
                  <c:v>-114.990883</c:v>
                </c:pt>
                <c:pt idx="5">
                  <c:v>-146.712468</c:v>
                </c:pt>
                <c:pt idx="6">
                  <c:v>-121.071895</c:v>
                </c:pt>
                <c:pt idx="7" formatCode="0.00">
                  <c:v>-154.87673000000001</c:v>
                </c:pt>
                <c:pt idx="8">
                  <c:v>-147.58962099999999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AEAA-4253-9E28-C915D02A494B}"/>
            </c:ext>
          </c:extLst>
        </c:ser>
        <c:ser>
          <c:idx val="2"/>
          <c:order val="2"/>
          <c:tx>
            <c:v>125 Hz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'20241007'!$B$21:$B$29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1.998769988929133</c:v>
                </c:pt>
                <c:pt idx="2">
                  <c:v>2.9975399778582656</c:v>
                </c:pt>
                <c:pt idx="3">
                  <c:v>3.9963099667873987</c:v>
                </c:pt>
                <c:pt idx="4">
                  <c:v>4.9950799557165313</c:v>
                </c:pt>
                <c:pt idx="5">
                  <c:v>5.9938499446456648</c:v>
                </c:pt>
                <c:pt idx="6">
                  <c:v>6.9926199335747956</c:v>
                </c:pt>
                <c:pt idx="7">
                  <c:v>7.99138992250393</c:v>
                </c:pt>
                <c:pt idx="8">
                  <c:v>8.9901599034379842</c:v>
                </c:pt>
              </c:numCache>
            </c:numRef>
          </c:xVal>
          <c:yVal>
            <c:numRef>
              <c:f>'20241007'!$D$21:$D$29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-142.59357199999999</c:v>
                </c:pt>
                <c:pt idx="2" formatCode="0.00">
                  <c:v>-141.86084</c:v>
                </c:pt>
                <c:pt idx="3" formatCode="0.00">
                  <c:v>-160.60222999999999</c:v>
                </c:pt>
                <c:pt idx="4">
                  <c:v>-164.17237900000001</c:v>
                </c:pt>
                <c:pt idx="5">
                  <c:v>-169.36362199999999</c:v>
                </c:pt>
                <c:pt idx="6">
                  <c:v>-169.59155200000001</c:v>
                </c:pt>
                <c:pt idx="7">
                  <c:v>-168.514422</c:v>
                </c:pt>
                <c:pt idx="8">
                  <c:v>-168.58270099999996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AEAA-4253-9E28-C915D02A494B}"/>
            </c:ext>
          </c:extLst>
        </c:ser>
        <c:ser>
          <c:idx val="3"/>
          <c:order val="3"/>
          <c:tx>
            <c:v>2 kHz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'20241007'!$B$30:$B$38</c:f>
              <c:numCache>
                <c:formatCode>0</c:formatCode>
                <c:ptCount val="9"/>
                <c:pt idx="0" formatCode="General">
                  <c:v>1</c:v>
                </c:pt>
                <c:pt idx="1">
                  <c:v>2.0000769057525365</c:v>
                </c:pt>
                <c:pt idx="2">
                  <c:v>3.0000769062524211</c:v>
                </c:pt>
                <c:pt idx="3">
                  <c:v>4.0000769062524206</c:v>
                </c:pt>
                <c:pt idx="4">
                  <c:v>5.0001538120049567</c:v>
                </c:pt>
                <c:pt idx="5">
                  <c:v>6.0001538120049576</c:v>
                </c:pt>
                <c:pt idx="6">
                  <c:v>7.0002307177574936</c:v>
                </c:pt>
                <c:pt idx="7">
                  <c:v>8.0002307177574927</c:v>
                </c:pt>
                <c:pt idx="8">
                  <c:v>9.0002307182573791</c:v>
                </c:pt>
              </c:numCache>
            </c:numRef>
          </c:xVal>
          <c:yVal>
            <c:numRef>
              <c:f>'20241007'!$D$30:$D$38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-125.67188400000001</c:v>
                </c:pt>
                <c:pt idx="2">
                  <c:v>-117.63791800000001</c:v>
                </c:pt>
                <c:pt idx="3">
                  <c:v>-144.87853799999999</c:v>
                </c:pt>
                <c:pt idx="4">
                  <c:v>-133.25809799999999</c:v>
                </c:pt>
                <c:pt idx="5" formatCode="0.00">
                  <c:v>-163.42411999999996</c:v>
                </c:pt>
                <c:pt idx="6">
                  <c:v>-143.08756700000001</c:v>
                </c:pt>
                <c:pt idx="7">
                  <c:v>-163.25009900000001</c:v>
                </c:pt>
                <c:pt idx="8" formatCode="0.00">
                  <c:v>-157.08237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AEAA-4253-9E28-C915D02A494B}"/>
            </c:ext>
          </c:extLst>
        </c:ser>
        <c:ser>
          <c:idx val="4"/>
          <c:order val="4"/>
          <c:tx>
            <c:v>5 kHz</c:v>
          </c:tx>
          <c:spPr>
            <a:ln w="19050">
              <a:solidFill>
                <a:srgbClr val="4BACC6"/>
              </a:solidFill>
            </a:ln>
          </c:spPr>
          <c:marker>
            <c:symbol val="circle"/>
            <c:size val="5"/>
            <c:spPr>
              <a:solidFill>
                <a:srgbClr val="4BACC6"/>
              </a:solidFill>
              <a:ln>
                <a:solidFill>
                  <a:srgbClr val="4BACC6"/>
                </a:solidFill>
              </a:ln>
            </c:spPr>
          </c:marker>
          <c:xVal>
            <c:numRef>
              <c:f>'20241007'!$B$39:$B$47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1.9999692317467144</c:v>
                </c:pt>
                <c:pt idx="2">
                  <c:v>2.9999384634934287</c:v>
                </c:pt>
                <c:pt idx="3">
                  <c:v>3.9999076952401436</c:v>
                </c:pt>
                <c:pt idx="4">
                  <c:v>4.9998769269868584</c:v>
                </c:pt>
                <c:pt idx="5">
                  <c:v>5.9998461587335727</c:v>
                </c:pt>
                <c:pt idx="6">
                  <c:v>6.9998153904802871</c:v>
                </c:pt>
                <c:pt idx="7">
                  <c:v>7.9997846222270015</c:v>
                </c:pt>
                <c:pt idx="8">
                  <c:v>8.9997538539737167</c:v>
                </c:pt>
              </c:numCache>
            </c:numRef>
          </c:xVal>
          <c:yVal>
            <c:numRef>
              <c:f>'20241007'!$D$39:$D$47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-115.72652600000001</c:v>
                </c:pt>
                <c:pt idx="2">
                  <c:v>-112.299483</c:v>
                </c:pt>
                <c:pt idx="3">
                  <c:v>-145.70359099999996</c:v>
                </c:pt>
                <c:pt idx="4">
                  <c:v>-139.112211</c:v>
                </c:pt>
                <c:pt idx="5">
                  <c:v>-169.728264</c:v>
                </c:pt>
                <c:pt idx="6">
                  <c:v>-165.609759</c:v>
                </c:pt>
                <c:pt idx="7">
                  <c:v>-167.62803500000001</c:v>
                </c:pt>
                <c:pt idx="8">
                  <c:v>-168.708033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AEAA-4253-9E28-C915D02A494B}"/>
            </c:ext>
          </c:extLst>
        </c:ser>
        <c:ser>
          <c:idx val="5"/>
          <c:order val="5"/>
          <c:tx>
            <c:v>625 Hz</c:v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xVal>
            <c:numRef>
              <c:f>'20241007'!$B$48:$B$56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1.9997538766920693</c:v>
                </c:pt>
                <c:pt idx="2">
                  <c:v>2.9995077533841386</c:v>
                </c:pt>
                <c:pt idx="3">
                  <c:v>3.9992616300762074</c:v>
                </c:pt>
                <c:pt idx="4">
                  <c:v>4.9990155067682771</c:v>
                </c:pt>
                <c:pt idx="5">
                  <c:v>5.9987693834603464</c:v>
                </c:pt>
                <c:pt idx="6">
                  <c:v>6.9985232601524157</c:v>
                </c:pt>
                <c:pt idx="7">
                  <c:v>7.9982771368444849</c:v>
                </c:pt>
                <c:pt idx="8">
                  <c:v>8.9980310119367495</c:v>
                </c:pt>
              </c:numCache>
            </c:numRef>
          </c:xVal>
          <c:yVal>
            <c:numRef>
              <c:f>'20241007'!$D$48:$D$56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-142.21863999999999</c:v>
                </c:pt>
                <c:pt idx="2">
                  <c:v>-151.76704000000001</c:v>
                </c:pt>
                <c:pt idx="3" formatCode="0.000">
                  <c:v>-166.880966</c:v>
                </c:pt>
                <c:pt idx="4" formatCode="0.000">
                  <c:v>-165.535324</c:v>
                </c:pt>
                <c:pt idx="5">
                  <c:v>-167.12935999999999</c:v>
                </c:pt>
                <c:pt idx="6" formatCode="0.000">
                  <c:v>-167.57293799999999</c:v>
                </c:pt>
                <c:pt idx="7" formatCode="0.000">
                  <c:v>-168.633398</c:v>
                </c:pt>
                <c:pt idx="8" formatCode="0.000">
                  <c:v>-168.46680699999996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5-AEAA-4253-9E28-C915D02A494B}"/>
            </c:ext>
          </c:extLst>
        </c:ser>
        <c:ser>
          <c:idx val="6"/>
          <c:order val="6"/>
          <c:tx>
            <c:v>62.5 Hz</c:v>
          </c:tx>
          <c:spPr>
            <a:ln w="19050">
              <a:solidFill>
                <a:srgbClr val="2C4E76"/>
              </a:solidFill>
            </a:ln>
          </c:spPr>
          <c:marker>
            <c:symbol val="circle"/>
            <c:size val="5"/>
            <c:spPr>
              <a:solidFill>
                <a:srgbClr val="2C4E76"/>
              </a:solidFill>
              <a:ln>
                <a:solidFill>
                  <a:srgbClr val="2C4E76"/>
                </a:solidFill>
              </a:ln>
            </c:spPr>
          </c:marker>
          <c:xVal>
            <c:numRef>
              <c:f>'20241007'!$B$57:$B$65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1.997542984044576</c:v>
                </c:pt>
                <c:pt idx="2">
                  <c:v>2.9950859840596684</c:v>
                </c:pt>
                <c:pt idx="3">
                  <c:v>3.9926289681042446</c:v>
                </c:pt>
                <c:pt idx="4">
                  <c:v>4.9901719521488213</c:v>
                </c:pt>
                <c:pt idx="5">
                  <c:v>5.9877149521639126</c:v>
                </c:pt>
                <c:pt idx="6">
                  <c:v>6.9852579362084892</c:v>
                </c:pt>
                <c:pt idx="7">
                  <c:v>7.9828009362235814</c:v>
                </c:pt>
                <c:pt idx="8">
                  <c:v>8.9803439202681563</c:v>
                </c:pt>
              </c:numCache>
            </c:numRef>
          </c:xVal>
          <c:yVal>
            <c:numRef>
              <c:f>'20241007'!$D$57:$D$65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-146.386909</c:v>
                </c:pt>
                <c:pt idx="2">
                  <c:v>-144.88427799999999</c:v>
                </c:pt>
                <c:pt idx="3">
                  <c:v>-156.11250799999999</c:v>
                </c:pt>
                <c:pt idx="4">
                  <c:v>-159.319052</c:v>
                </c:pt>
                <c:pt idx="5">
                  <c:v>-166.67964599999999</c:v>
                </c:pt>
                <c:pt idx="6">
                  <c:v>-168.52428900000001</c:v>
                </c:pt>
                <c:pt idx="7">
                  <c:v>-167.110624</c:v>
                </c:pt>
                <c:pt idx="8" formatCode="0.0">
                  <c:v>-167.75479999999996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6-AEAA-4253-9E28-C915D02A4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Harmonic nro.</a:t>
                </a:r>
              </a:p>
            </c:rich>
          </c:tx>
          <c:overlay val="0"/>
          <c:spPr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Amplitude (dBc)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numCol="7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Harmonic Amplitude (dBc)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kHz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'20241007'!$B$3:$B$11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1.9998461776649508</c:v>
                </c:pt>
                <c:pt idx="2">
                  <c:v>2.9998461776649505</c:v>
                </c:pt>
                <c:pt idx="3">
                  <c:v>3.999846177664951</c:v>
                </c:pt>
                <c:pt idx="4">
                  <c:v>4.9998461786647974</c:v>
                </c:pt>
                <c:pt idx="5">
                  <c:v>6.0010767583450351</c:v>
                </c:pt>
                <c:pt idx="6">
                  <c:v>6.9996923563297484</c:v>
                </c:pt>
                <c:pt idx="7">
                  <c:v>7.9998461786647956</c:v>
                </c:pt>
                <c:pt idx="8">
                  <c:v>9.0012305816799305</c:v>
                </c:pt>
              </c:numCache>
            </c:numRef>
          </c:xVal>
          <c:yVal>
            <c:numRef>
              <c:f>'20241007'!$D$3:$D$11</c:f>
              <c:numCache>
                <c:formatCode>0.000</c:formatCode>
                <c:ptCount val="9"/>
                <c:pt idx="0" formatCode="0.0">
                  <c:v>0</c:v>
                </c:pt>
                <c:pt idx="1">
                  <c:v>-129.747254</c:v>
                </c:pt>
                <c:pt idx="2">
                  <c:v>-124.34999800000001</c:v>
                </c:pt>
                <c:pt idx="3">
                  <c:v>-147.553629</c:v>
                </c:pt>
                <c:pt idx="4" formatCode="0.00">
                  <c:v>-138.97916000000001</c:v>
                </c:pt>
                <c:pt idx="5">
                  <c:v>-165.64550299999999</c:v>
                </c:pt>
                <c:pt idx="6">
                  <c:v>-148.38689099999999</c:v>
                </c:pt>
                <c:pt idx="7">
                  <c:v>-165.59942100000001</c:v>
                </c:pt>
                <c:pt idx="8">
                  <c:v>-166.05171100000001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D81C-4097-8203-4ACF26B775A9}"/>
            </c:ext>
          </c:extLst>
        </c:ser>
        <c:ser>
          <c:idx val="1"/>
          <c:order val="1"/>
          <c:tx>
            <c:v>10 kHz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'20241007'!$B$12:$B$20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1.9999846176665135</c:v>
                </c:pt>
                <c:pt idx="2">
                  <c:v>2.9999846175665286</c:v>
                </c:pt>
                <c:pt idx="3">
                  <c:v>3.999969235333027</c:v>
                </c:pt>
                <c:pt idx="4">
                  <c:v>4.9999692352330429</c:v>
                </c:pt>
                <c:pt idx="5">
                  <c:v>5.999969235233042</c:v>
                </c:pt>
                <c:pt idx="6">
                  <c:v>6.999969235133058</c:v>
                </c:pt>
                <c:pt idx="7">
                  <c:v>7.9999846173665592</c:v>
                </c:pt>
                <c:pt idx="8">
                  <c:v>8.9999999996000604</c:v>
                </c:pt>
              </c:numCache>
            </c:numRef>
          </c:xVal>
          <c:yVal>
            <c:numRef>
              <c:f>'20241007'!$D$12:$D$20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-104.324173</c:v>
                </c:pt>
                <c:pt idx="2" formatCode="0.00">
                  <c:v>-100.28037</c:v>
                </c:pt>
                <c:pt idx="3">
                  <c:v>-131.214078</c:v>
                </c:pt>
                <c:pt idx="4">
                  <c:v>-114.990883</c:v>
                </c:pt>
                <c:pt idx="5">
                  <c:v>-146.712468</c:v>
                </c:pt>
                <c:pt idx="6">
                  <c:v>-121.071895</c:v>
                </c:pt>
                <c:pt idx="7" formatCode="0.00">
                  <c:v>-154.87673000000001</c:v>
                </c:pt>
                <c:pt idx="8">
                  <c:v>-147.58962099999999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D81C-4097-8203-4ACF26B775A9}"/>
            </c:ext>
          </c:extLst>
        </c:ser>
        <c:ser>
          <c:idx val="2"/>
          <c:order val="2"/>
          <c:tx>
            <c:v>125 Hz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'20241007'!$B$21:$B$29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1.998769988929133</c:v>
                </c:pt>
                <c:pt idx="2">
                  <c:v>2.9975399778582656</c:v>
                </c:pt>
                <c:pt idx="3">
                  <c:v>3.9963099667873987</c:v>
                </c:pt>
                <c:pt idx="4">
                  <c:v>4.9950799557165313</c:v>
                </c:pt>
                <c:pt idx="5">
                  <c:v>5.9938499446456648</c:v>
                </c:pt>
                <c:pt idx="6">
                  <c:v>6.9926199335747956</c:v>
                </c:pt>
                <c:pt idx="7">
                  <c:v>7.99138992250393</c:v>
                </c:pt>
                <c:pt idx="8">
                  <c:v>8.9901599034379842</c:v>
                </c:pt>
              </c:numCache>
            </c:numRef>
          </c:xVal>
          <c:yVal>
            <c:numRef>
              <c:f>'20241007'!$D$21:$D$29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-142.59357199999999</c:v>
                </c:pt>
                <c:pt idx="2" formatCode="0.00">
                  <c:v>-141.86084</c:v>
                </c:pt>
                <c:pt idx="3" formatCode="0.00">
                  <c:v>-160.60222999999999</c:v>
                </c:pt>
                <c:pt idx="4">
                  <c:v>-164.17237900000001</c:v>
                </c:pt>
                <c:pt idx="5">
                  <c:v>-169.36362199999999</c:v>
                </c:pt>
                <c:pt idx="6">
                  <c:v>-169.59155200000001</c:v>
                </c:pt>
                <c:pt idx="7">
                  <c:v>-168.514422</c:v>
                </c:pt>
                <c:pt idx="8">
                  <c:v>-168.58270099999996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D81C-4097-8203-4ACF26B775A9}"/>
            </c:ext>
          </c:extLst>
        </c:ser>
        <c:ser>
          <c:idx val="3"/>
          <c:order val="3"/>
          <c:tx>
            <c:v>2 kHz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'20241007'!$B$30:$B$38</c:f>
              <c:numCache>
                <c:formatCode>0</c:formatCode>
                <c:ptCount val="9"/>
                <c:pt idx="0" formatCode="General">
                  <c:v>1</c:v>
                </c:pt>
                <c:pt idx="1">
                  <c:v>2.0000769057525365</c:v>
                </c:pt>
                <c:pt idx="2">
                  <c:v>3.0000769062524211</c:v>
                </c:pt>
                <c:pt idx="3">
                  <c:v>4.0000769062524206</c:v>
                </c:pt>
                <c:pt idx="4">
                  <c:v>5.0001538120049567</c:v>
                </c:pt>
                <c:pt idx="5">
                  <c:v>6.0001538120049576</c:v>
                </c:pt>
                <c:pt idx="6">
                  <c:v>7.0002307177574936</c:v>
                </c:pt>
                <c:pt idx="7">
                  <c:v>8.0002307177574927</c:v>
                </c:pt>
                <c:pt idx="8">
                  <c:v>9.0002307182573791</c:v>
                </c:pt>
              </c:numCache>
            </c:numRef>
          </c:xVal>
          <c:yVal>
            <c:numRef>
              <c:f>'20241007'!$D$30:$D$38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-125.67188400000001</c:v>
                </c:pt>
                <c:pt idx="2">
                  <c:v>-117.63791800000001</c:v>
                </c:pt>
                <c:pt idx="3">
                  <c:v>-144.87853799999999</c:v>
                </c:pt>
                <c:pt idx="4">
                  <c:v>-133.25809799999999</c:v>
                </c:pt>
                <c:pt idx="5" formatCode="0.00">
                  <c:v>-163.42411999999996</c:v>
                </c:pt>
                <c:pt idx="6">
                  <c:v>-143.08756700000001</c:v>
                </c:pt>
                <c:pt idx="7">
                  <c:v>-163.25009900000001</c:v>
                </c:pt>
                <c:pt idx="8" formatCode="0.00">
                  <c:v>-157.08237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D81C-4097-8203-4ACF26B775A9}"/>
            </c:ext>
          </c:extLst>
        </c:ser>
        <c:ser>
          <c:idx val="4"/>
          <c:order val="4"/>
          <c:tx>
            <c:v>5 kHz</c:v>
          </c:tx>
          <c:spPr>
            <a:ln w="19050">
              <a:solidFill>
                <a:srgbClr val="4BACC6"/>
              </a:solidFill>
            </a:ln>
          </c:spPr>
          <c:marker>
            <c:symbol val="circle"/>
            <c:size val="5"/>
            <c:spPr>
              <a:solidFill>
                <a:srgbClr val="4BACC6"/>
              </a:solidFill>
              <a:ln>
                <a:solidFill>
                  <a:srgbClr val="4BACC6"/>
                </a:solidFill>
              </a:ln>
            </c:spPr>
          </c:marker>
          <c:xVal>
            <c:numRef>
              <c:f>'20241007'!$B$39:$B$47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1.9999692317467144</c:v>
                </c:pt>
                <c:pt idx="2">
                  <c:v>2.9999384634934287</c:v>
                </c:pt>
                <c:pt idx="3">
                  <c:v>3.9999076952401436</c:v>
                </c:pt>
                <c:pt idx="4">
                  <c:v>4.9998769269868584</c:v>
                </c:pt>
                <c:pt idx="5">
                  <c:v>5.9998461587335727</c:v>
                </c:pt>
                <c:pt idx="6">
                  <c:v>6.9998153904802871</c:v>
                </c:pt>
                <c:pt idx="7">
                  <c:v>7.9997846222270015</c:v>
                </c:pt>
                <c:pt idx="8">
                  <c:v>8.9997538539737167</c:v>
                </c:pt>
              </c:numCache>
            </c:numRef>
          </c:xVal>
          <c:yVal>
            <c:numRef>
              <c:f>'20241007'!$D$39:$D$47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-115.72652600000001</c:v>
                </c:pt>
                <c:pt idx="2">
                  <c:v>-112.299483</c:v>
                </c:pt>
                <c:pt idx="3">
                  <c:v>-145.70359099999996</c:v>
                </c:pt>
                <c:pt idx="4">
                  <c:v>-139.112211</c:v>
                </c:pt>
                <c:pt idx="5">
                  <c:v>-169.728264</c:v>
                </c:pt>
                <c:pt idx="6">
                  <c:v>-165.609759</c:v>
                </c:pt>
                <c:pt idx="7">
                  <c:v>-167.62803500000001</c:v>
                </c:pt>
                <c:pt idx="8">
                  <c:v>-168.708033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D81C-4097-8203-4ACF26B775A9}"/>
            </c:ext>
          </c:extLst>
        </c:ser>
        <c:ser>
          <c:idx val="5"/>
          <c:order val="5"/>
          <c:tx>
            <c:v>625 Hz</c:v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xVal>
            <c:numRef>
              <c:f>'20241007'!$B$48:$B$56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1.9997538766920693</c:v>
                </c:pt>
                <c:pt idx="2">
                  <c:v>2.9995077533841386</c:v>
                </c:pt>
                <c:pt idx="3">
                  <c:v>3.9992616300762074</c:v>
                </c:pt>
                <c:pt idx="4">
                  <c:v>4.9990155067682771</c:v>
                </c:pt>
                <c:pt idx="5">
                  <c:v>5.9987693834603464</c:v>
                </c:pt>
                <c:pt idx="6">
                  <c:v>6.9985232601524157</c:v>
                </c:pt>
                <c:pt idx="7">
                  <c:v>7.9982771368444849</c:v>
                </c:pt>
                <c:pt idx="8">
                  <c:v>8.9980310119367495</c:v>
                </c:pt>
              </c:numCache>
            </c:numRef>
          </c:xVal>
          <c:yVal>
            <c:numRef>
              <c:f>'20241007'!$D$48:$D$56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-142.21863999999999</c:v>
                </c:pt>
                <c:pt idx="2">
                  <c:v>-151.76704000000001</c:v>
                </c:pt>
                <c:pt idx="3" formatCode="0.000">
                  <c:v>-166.880966</c:v>
                </c:pt>
                <c:pt idx="4" formatCode="0.000">
                  <c:v>-165.535324</c:v>
                </c:pt>
                <c:pt idx="5">
                  <c:v>-167.12935999999999</c:v>
                </c:pt>
                <c:pt idx="6" formatCode="0.000">
                  <c:v>-167.57293799999999</c:v>
                </c:pt>
                <c:pt idx="7" formatCode="0.000">
                  <c:v>-168.633398</c:v>
                </c:pt>
                <c:pt idx="8" formatCode="0.000">
                  <c:v>-168.46680699999996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5-D81C-4097-8203-4ACF26B775A9}"/>
            </c:ext>
          </c:extLst>
        </c:ser>
        <c:ser>
          <c:idx val="6"/>
          <c:order val="6"/>
          <c:tx>
            <c:v>62.5 Hz</c:v>
          </c:tx>
          <c:spPr>
            <a:ln w="19050">
              <a:solidFill>
                <a:srgbClr val="2C4E76"/>
              </a:solidFill>
            </a:ln>
          </c:spPr>
          <c:marker>
            <c:symbol val="circle"/>
            <c:size val="5"/>
            <c:spPr>
              <a:solidFill>
                <a:srgbClr val="2C4E76"/>
              </a:solidFill>
              <a:ln>
                <a:solidFill>
                  <a:srgbClr val="2C4E76"/>
                </a:solidFill>
              </a:ln>
            </c:spPr>
          </c:marker>
          <c:xVal>
            <c:numRef>
              <c:f>'20241007'!$B$57:$B$65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1.997542984044576</c:v>
                </c:pt>
                <c:pt idx="2">
                  <c:v>2.9950859840596684</c:v>
                </c:pt>
                <c:pt idx="3">
                  <c:v>3.9926289681042446</c:v>
                </c:pt>
                <c:pt idx="4">
                  <c:v>4.9901719521488213</c:v>
                </c:pt>
                <c:pt idx="5">
                  <c:v>5.9877149521639126</c:v>
                </c:pt>
                <c:pt idx="6">
                  <c:v>6.9852579362084892</c:v>
                </c:pt>
                <c:pt idx="7">
                  <c:v>7.9828009362235814</c:v>
                </c:pt>
                <c:pt idx="8">
                  <c:v>8.9803439202681563</c:v>
                </c:pt>
              </c:numCache>
            </c:numRef>
          </c:xVal>
          <c:yVal>
            <c:numRef>
              <c:f>'20241007'!$D$57:$D$65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-146.386909</c:v>
                </c:pt>
                <c:pt idx="2">
                  <c:v>-144.88427799999999</c:v>
                </c:pt>
                <c:pt idx="3">
                  <c:v>-156.11250799999999</c:v>
                </c:pt>
                <c:pt idx="4">
                  <c:v>-159.319052</c:v>
                </c:pt>
                <c:pt idx="5">
                  <c:v>-166.67964599999999</c:v>
                </c:pt>
                <c:pt idx="6">
                  <c:v>-168.52428900000001</c:v>
                </c:pt>
                <c:pt idx="7">
                  <c:v>-167.110624</c:v>
                </c:pt>
                <c:pt idx="8" formatCode="0.0">
                  <c:v>-167.75479999999996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6-D81C-4097-8203-4ACF26B77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  <c:max val="9.1"/>
          <c:min val="1.8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Harmonic nro.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  <c:max val="-6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Amplitude (dBc)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At val="1"/>
        <c:crossBetween val="midCat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numCol="7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Harmonics Amplitude (input amplitude 7.07 V)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62.5 Hz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'20241006'!$B$4:$B$11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'20241006'!$D$4:$D$11</c:f>
              <c:numCache>
                <c:formatCode>0.000</c:formatCode>
                <c:ptCount val="8"/>
                <c:pt idx="0">
                  <c:v>-146.50715700000001</c:v>
                </c:pt>
                <c:pt idx="1">
                  <c:v>-147.67863800000001</c:v>
                </c:pt>
                <c:pt idx="2">
                  <c:v>-155.25258500000001</c:v>
                </c:pt>
                <c:pt idx="3">
                  <c:v>-160.49124499999999</c:v>
                </c:pt>
                <c:pt idx="4">
                  <c:v>-163.906576</c:v>
                </c:pt>
                <c:pt idx="5">
                  <c:v>-165.73344399999999</c:v>
                </c:pt>
                <c:pt idx="6">
                  <c:v>-165.379335</c:v>
                </c:pt>
                <c:pt idx="7" formatCode="0.00">
                  <c:v>-165.99023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28AD-4315-B2CB-650D110F4B61}"/>
            </c:ext>
          </c:extLst>
        </c:ser>
        <c:ser>
          <c:idx val="1"/>
          <c:order val="1"/>
          <c:tx>
            <c:v>125 Hz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'20241006'!$B$13:$B$20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'20241006'!$D$13:$D$20</c:f>
              <c:numCache>
                <c:formatCode>0.000</c:formatCode>
                <c:ptCount val="8"/>
                <c:pt idx="0">
                  <c:v>-141.98822200000001</c:v>
                </c:pt>
                <c:pt idx="1">
                  <c:v>-141.56246100000001</c:v>
                </c:pt>
                <c:pt idx="2">
                  <c:v>-156.20945499999999</c:v>
                </c:pt>
                <c:pt idx="3">
                  <c:v>-157.546628</c:v>
                </c:pt>
                <c:pt idx="4">
                  <c:v>-166.08551800000001</c:v>
                </c:pt>
                <c:pt idx="5">
                  <c:v>-163.20767799999996</c:v>
                </c:pt>
                <c:pt idx="6">
                  <c:v>-164.46040199999996</c:v>
                </c:pt>
                <c:pt idx="7">
                  <c:v>-166.14660699999996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28AD-4315-B2CB-650D110F4B61}"/>
            </c:ext>
          </c:extLst>
        </c:ser>
        <c:ser>
          <c:idx val="2"/>
          <c:order val="2"/>
          <c:tx>
            <c:v>625 Hz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'20241006'!$B$22:$B$29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'20241006'!$D$22:$D$29</c:f>
              <c:numCache>
                <c:formatCode>0.000</c:formatCode>
                <c:ptCount val="8"/>
                <c:pt idx="0">
                  <c:v>-133.39586299999999</c:v>
                </c:pt>
                <c:pt idx="1">
                  <c:v>-129.505167</c:v>
                </c:pt>
                <c:pt idx="2">
                  <c:v>-151.74052800000001</c:v>
                </c:pt>
                <c:pt idx="3">
                  <c:v>-143.251721</c:v>
                </c:pt>
                <c:pt idx="4" formatCode="0.00">
                  <c:v>-166.17644999999996</c:v>
                </c:pt>
                <c:pt idx="5">
                  <c:v>-150.935924</c:v>
                </c:pt>
                <c:pt idx="6">
                  <c:v>-167.29683900000001</c:v>
                </c:pt>
                <c:pt idx="7">
                  <c:v>-166.27332100000001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28AD-4315-B2CB-650D110F4B61}"/>
            </c:ext>
          </c:extLst>
        </c:ser>
        <c:ser>
          <c:idx val="3"/>
          <c:order val="3"/>
          <c:tx>
            <c:v>1 kHz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'20241006'!$B$31:$B$38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'20241006'!$D$31:$D$38</c:f>
              <c:numCache>
                <c:formatCode>0.000</c:formatCode>
                <c:ptCount val="8"/>
                <c:pt idx="0">
                  <c:v>-130.338694</c:v>
                </c:pt>
                <c:pt idx="1">
                  <c:v>-125.079584</c:v>
                </c:pt>
                <c:pt idx="2">
                  <c:v>-148.115162</c:v>
                </c:pt>
                <c:pt idx="3">
                  <c:v>-139.77102600000001</c:v>
                </c:pt>
                <c:pt idx="4" formatCode="0.00">
                  <c:v>-162.90066999999999</c:v>
                </c:pt>
                <c:pt idx="5">
                  <c:v>-147.86583300000001</c:v>
                </c:pt>
                <c:pt idx="6">
                  <c:v>-164.01816099999999</c:v>
                </c:pt>
                <c:pt idx="7">
                  <c:v>-166.009109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28AD-4315-B2CB-650D110F4B61}"/>
            </c:ext>
          </c:extLst>
        </c:ser>
        <c:ser>
          <c:idx val="4"/>
          <c:order val="4"/>
          <c:tx>
            <c:v>2 kHz</c:v>
          </c:tx>
          <c:spPr>
            <a:ln w="19050">
              <a:solidFill>
                <a:srgbClr val="4BACC6"/>
              </a:solidFill>
            </a:ln>
          </c:spPr>
          <c:marker>
            <c:symbol val="circle"/>
            <c:size val="5"/>
            <c:spPr>
              <a:solidFill>
                <a:srgbClr val="4BACC6"/>
              </a:solidFill>
              <a:ln>
                <a:solidFill>
                  <a:srgbClr val="4BACC6"/>
                </a:solidFill>
              </a:ln>
            </c:spPr>
          </c:marker>
          <c:xVal>
            <c:numRef>
              <c:f>'20241006'!$B$40:$B$47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'20241006'!$D$40:$D$47</c:f>
              <c:numCache>
                <c:formatCode>0.00</c:formatCode>
                <c:ptCount val="8"/>
                <c:pt idx="0" formatCode="0.000">
                  <c:v>-124.429081</c:v>
                </c:pt>
                <c:pt idx="1">
                  <c:v>-118.57890999999999</c:v>
                </c:pt>
                <c:pt idx="2" formatCode="0.000">
                  <c:v>-142.59262899999999</c:v>
                </c:pt>
                <c:pt idx="3">
                  <c:v>-132.93890999999999</c:v>
                </c:pt>
                <c:pt idx="4">
                  <c:v>-160.69379000000001</c:v>
                </c:pt>
                <c:pt idx="5" formatCode="0.000">
                  <c:v>-141.53113300000001</c:v>
                </c:pt>
                <c:pt idx="6">
                  <c:v>-157.86524</c:v>
                </c:pt>
                <c:pt idx="7" formatCode="0.000">
                  <c:v>-156.430196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4-28AD-4315-B2CB-650D110F4B61}"/>
            </c:ext>
          </c:extLst>
        </c:ser>
        <c:ser>
          <c:idx val="5"/>
          <c:order val="5"/>
          <c:tx>
            <c:v>5 kHz</c:v>
          </c:tx>
          <c:spPr>
            <a:ln w="19050">
              <a:solidFill>
                <a:srgbClr val="F79646"/>
              </a:solidFill>
            </a:ln>
          </c:spPr>
          <c:marker>
            <c:symbol val="circle"/>
            <c:size val="5"/>
            <c:spPr>
              <a:solidFill>
                <a:srgbClr val="F79646"/>
              </a:solidFill>
              <a:ln>
                <a:solidFill>
                  <a:srgbClr val="F79646"/>
                </a:solidFill>
              </a:ln>
            </c:spPr>
          </c:marker>
          <c:xVal>
            <c:numRef>
              <c:f>'20241006'!$B$49:$B$56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'20241006'!$D$49:$D$56</c:f>
              <c:numCache>
                <c:formatCode>0.000</c:formatCode>
                <c:ptCount val="8"/>
                <c:pt idx="0">
                  <c:v>-114.856154</c:v>
                </c:pt>
                <c:pt idx="1">
                  <c:v>-109.936668</c:v>
                </c:pt>
                <c:pt idx="2">
                  <c:v>-135.264861</c:v>
                </c:pt>
                <c:pt idx="3">
                  <c:v>-123.40072300000001</c:v>
                </c:pt>
                <c:pt idx="4">
                  <c:v>-152.43663900000001</c:v>
                </c:pt>
                <c:pt idx="5">
                  <c:v>-130.53260399999999</c:v>
                </c:pt>
                <c:pt idx="6">
                  <c:v>-151.97787199999999</c:v>
                </c:pt>
                <c:pt idx="7">
                  <c:v>-146.55492100000001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5-28AD-4315-B2CB-650D110F4B61}"/>
            </c:ext>
          </c:extLst>
        </c:ser>
        <c:ser>
          <c:idx val="6"/>
          <c:order val="6"/>
          <c:tx>
            <c:v>10 kHz</c:v>
          </c:tx>
          <c:spPr>
            <a:ln w="19050">
              <a:solidFill>
                <a:srgbClr val="2C4E76"/>
              </a:solidFill>
            </a:ln>
          </c:spPr>
          <c:marker>
            <c:symbol val="circle"/>
            <c:size val="5"/>
            <c:spPr>
              <a:solidFill>
                <a:srgbClr val="2C4E76"/>
              </a:solidFill>
              <a:ln>
                <a:solidFill>
                  <a:srgbClr val="2C4E76"/>
                </a:solidFill>
              </a:ln>
            </c:spPr>
          </c:marker>
          <c:xVal>
            <c:numRef>
              <c:f>'20241006'!$B$58:$B$65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'20241006'!$D$58:$D$65</c:f>
              <c:numCache>
                <c:formatCode>0.00</c:formatCode>
                <c:ptCount val="8"/>
                <c:pt idx="0" formatCode="0.000">
                  <c:v>-104.017509</c:v>
                </c:pt>
                <c:pt idx="1">
                  <c:v>-100.85742999999999</c:v>
                </c:pt>
                <c:pt idx="2" formatCode="0.000">
                  <c:v>-127.891542</c:v>
                </c:pt>
                <c:pt idx="3" formatCode="0.000">
                  <c:v>-114.198891</c:v>
                </c:pt>
                <c:pt idx="4" formatCode="0.000">
                  <c:v>-141.88306900000001</c:v>
                </c:pt>
                <c:pt idx="5" formatCode="0.000">
                  <c:v>-119.997271</c:v>
                </c:pt>
                <c:pt idx="6" formatCode="0.000">
                  <c:v>-157.16458800000001</c:v>
                </c:pt>
                <c:pt idx="7" formatCode="0.000">
                  <c:v>-147.40970200000001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6-28AD-4315-B2CB-650D110F4B61}"/>
            </c:ext>
          </c:extLst>
        </c:ser>
        <c:ser>
          <c:idx val="7"/>
          <c:order val="7"/>
          <c:tx>
            <c:v>20 kHz</c:v>
          </c:tx>
          <c:spPr>
            <a:ln w="19050">
              <a:solidFill>
                <a:srgbClr val="772D2B"/>
              </a:solidFill>
            </a:ln>
          </c:spPr>
          <c:marker>
            <c:symbol val="circle"/>
            <c:size val="5"/>
            <c:spPr>
              <a:solidFill>
                <a:srgbClr val="772D2B"/>
              </a:solidFill>
              <a:ln>
                <a:solidFill>
                  <a:srgbClr val="772D2B"/>
                </a:solidFill>
              </a:ln>
            </c:spPr>
          </c:marker>
          <c:xVal>
            <c:numRef>
              <c:f>'20241006'!$B$71:$B$78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'20241006'!$D$71:$D$78</c:f>
              <c:numCache>
                <c:formatCode>0.000</c:formatCode>
                <c:ptCount val="8"/>
                <c:pt idx="0">
                  <c:v>-92.526977000000002</c:v>
                </c:pt>
                <c:pt idx="1">
                  <c:v>-90.647558000000004</c:v>
                </c:pt>
                <c:pt idx="2">
                  <c:v>-120.35540399999999</c:v>
                </c:pt>
                <c:pt idx="3">
                  <c:v>-105.36374300000001</c:v>
                </c:pt>
                <c:pt idx="4">
                  <c:v>-130.24970500000001</c:v>
                </c:pt>
                <c:pt idx="5">
                  <c:v>-108.479502</c:v>
                </c:pt>
                <c:pt idx="6">
                  <c:v>-135.510989</c:v>
                </c:pt>
                <c:pt idx="7">
                  <c:v>-114.889257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7-28AD-4315-B2CB-650D110F4B61}"/>
            </c:ext>
          </c:extLst>
        </c:ser>
        <c:ser>
          <c:idx val="8"/>
          <c:order val="8"/>
          <c:tx>
            <c:v>50 kHz</c:v>
          </c:tx>
          <c:spPr>
            <a:ln w="19050">
              <a:solidFill>
                <a:srgbClr val="607630"/>
              </a:solidFill>
            </a:ln>
          </c:spPr>
          <c:marker>
            <c:symbol val="circle"/>
            <c:size val="5"/>
            <c:spPr>
              <a:solidFill>
                <a:srgbClr val="607630"/>
              </a:solidFill>
              <a:ln>
                <a:solidFill>
                  <a:srgbClr val="607630"/>
                </a:solidFill>
              </a:ln>
            </c:spPr>
          </c:marker>
          <c:xVal>
            <c:numRef>
              <c:f>'20241006'!$B$84:$B$91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'20241006'!$D$84:$D$91</c:f>
              <c:numCache>
                <c:formatCode>0.000</c:formatCode>
                <c:ptCount val="8"/>
                <c:pt idx="0">
                  <c:v>-77.319145000000006</c:v>
                </c:pt>
                <c:pt idx="1">
                  <c:v>-75.353505999999982</c:v>
                </c:pt>
                <c:pt idx="2">
                  <c:v>-104.055868</c:v>
                </c:pt>
                <c:pt idx="3">
                  <c:v>-91.795709000000002</c:v>
                </c:pt>
                <c:pt idx="4">
                  <c:v>-106.646455</c:v>
                </c:pt>
                <c:pt idx="5">
                  <c:v>-93.995367000000002</c:v>
                </c:pt>
                <c:pt idx="6">
                  <c:v>-110.552194</c:v>
                </c:pt>
                <c:pt idx="7">
                  <c:v>-95.144519000000003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8-28AD-4315-B2CB-650D110F4B61}"/>
            </c:ext>
          </c:extLst>
        </c:ser>
        <c:ser>
          <c:idx val="9"/>
          <c:order val="9"/>
          <c:tx>
            <c:v>100 kHz</c:v>
          </c:tx>
          <c:spPr>
            <a:ln w="19050">
              <a:solidFill>
                <a:srgbClr val="4D3A63"/>
              </a:solidFill>
            </a:ln>
          </c:spPr>
          <c:marker>
            <c:symbol val="circle"/>
            <c:size val="5"/>
            <c:spPr>
              <a:solidFill>
                <a:srgbClr val="4D3A63"/>
              </a:solidFill>
              <a:ln>
                <a:solidFill>
                  <a:srgbClr val="4D3A63"/>
                </a:solidFill>
              </a:ln>
            </c:spPr>
          </c:marker>
          <c:xVal>
            <c:numRef>
              <c:f>'20241006'!$B$97:$B$104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'20241006'!$D$97:$D$104</c:f>
              <c:numCache>
                <c:formatCode>0.000</c:formatCode>
                <c:ptCount val="8"/>
                <c:pt idx="0">
                  <c:v>-65.238063999999994</c:v>
                </c:pt>
                <c:pt idx="1">
                  <c:v>-46.213678999999999</c:v>
                </c:pt>
                <c:pt idx="2" formatCode="0">
                  <c:v>-91.194999999999993</c:v>
                </c:pt>
                <c:pt idx="3">
                  <c:v>-52.079067000000002</c:v>
                </c:pt>
                <c:pt idx="4">
                  <c:v>-86.367065999999994</c:v>
                </c:pt>
                <c:pt idx="5">
                  <c:v>-59.905468999999997</c:v>
                </c:pt>
                <c:pt idx="6">
                  <c:v>-86.444586999999999</c:v>
                </c:pt>
                <c:pt idx="7">
                  <c:v>-68.468496000000002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9-28AD-4315-B2CB-650D110F4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Harmonic #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Amplitude (dBc)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numCol="10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Harmonic content at 5 kHz input signal freq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'20241006'!$A$48:$A$56</c:f>
              <c:numCache>
                <c:formatCode>0.00</c:formatCode>
                <c:ptCount val="9"/>
                <c:pt idx="0" formatCode="0.000">
                  <c:v>5000.1538460000002</c:v>
                </c:pt>
                <c:pt idx="1">
                  <c:v>10000.307692</c:v>
                </c:pt>
                <c:pt idx="2">
                  <c:v>15000.461538</c:v>
                </c:pt>
                <c:pt idx="3">
                  <c:v>20000.461538</c:v>
                </c:pt>
                <c:pt idx="4">
                  <c:v>25000.615385000001</c:v>
                </c:pt>
                <c:pt idx="5">
                  <c:v>30000.769230999998</c:v>
                </c:pt>
                <c:pt idx="6">
                  <c:v>35000.923076999999</c:v>
                </c:pt>
                <c:pt idx="7">
                  <c:v>40001.076923000001</c:v>
                </c:pt>
                <c:pt idx="8">
                  <c:v>45001.384615000003</c:v>
                </c:pt>
              </c:numCache>
            </c:numRef>
          </c:xVal>
          <c:yVal>
            <c:numRef>
              <c:f>'20241006'!$C$48:$C$56</c:f>
              <c:numCache>
                <c:formatCode>0.000</c:formatCode>
                <c:ptCount val="9"/>
                <c:pt idx="0">
                  <c:v>16.953682000000001</c:v>
                </c:pt>
                <c:pt idx="1">
                  <c:v>-97.902472000000003</c:v>
                </c:pt>
                <c:pt idx="2">
                  <c:v>-92.982985999999997</c:v>
                </c:pt>
                <c:pt idx="3">
                  <c:v>-118.311179</c:v>
                </c:pt>
                <c:pt idx="4">
                  <c:v>-106.44704100000001</c:v>
                </c:pt>
                <c:pt idx="5">
                  <c:v>-135.48295700000003</c:v>
                </c:pt>
                <c:pt idx="6">
                  <c:v>-113.57892200000001</c:v>
                </c:pt>
                <c:pt idx="7" formatCode="0.00">
                  <c:v>-135.02419</c:v>
                </c:pt>
                <c:pt idx="8">
                  <c:v>-129.60123899999999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2C8E-49D1-B5D3-8F6C63690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s-mx" sz="1000" b="0" i="0" u="none" strike="noStrike" kern="100">
                    <a:solidFill>
                      <a:srgbClr val="595959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1000" b="0" i="0" u="none" strike="noStrike" kern="100">
                    <a:solidFill>
                      <a:srgbClr val="595959"/>
                    </a:solidFill>
                    <a:latin typeface="Calibri" charset="0"/>
                  </a:defRPr>
                </a:pPr>
                <a:r>
                  <a:t>Signal level (dB)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THD vs frequency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THD_10062024!$N$3:$N$15</c:f>
              <c:numCache>
                <c:formatCode>0.0</c:formatCode>
                <c:ptCount val="13"/>
                <c:pt idx="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 formatCode="0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THD_10062024!$P$3:$P$15</c:f>
              <c:numCache>
                <c:formatCode>0.000</c:formatCode>
                <c:ptCount val="13"/>
                <c:pt idx="0">
                  <c:v>-143.51556406492168</c:v>
                </c:pt>
                <c:pt idx="1">
                  <c:v>-138.58460363308183</c:v>
                </c:pt>
                <c:pt idx="2">
                  <c:v>-127.84910659898628</c:v>
                </c:pt>
                <c:pt idx="3">
                  <c:v>-123.80052771133876</c:v>
                </c:pt>
                <c:pt idx="4" formatCode="0.00">
                  <c:v>-117.41938304755395</c:v>
                </c:pt>
                <c:pt idx="5">
                  <c:v>-108.5404865283102</c:v>
                </c:pt>
                <c:pt idx="6" formatCode="0.0000">
                  <c:v>-98.971934486941322</c:v>
                </c:pt>
                <c:pt idx="7" formatCode="0.0">
                  <c:v>-88.516218929776969</c:v>
                </c:pt>
                <c:pt idx="8" formatCode="0.0000">
                  <c:v>-88.333037420985221</c:v>
                </c:pt>
                <c:pt idx="9" formatCode="0.0">
                  <c:v>-73.001149738721708</c:v>
                </c:pt>
                <c:pt idx="10" formatCode="0.0000">
                  <c:v>-73.086956453125239</c:v>
                </c:pt>
                <c:pt idx="11" formatCode="0.0">
                  <c:v>-46.156371556379099</c:v>
                </c:pt>
                <c:pt idx="12" formatCode="0.0000">
                  <c:v>-45.006206614518717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92A9-4D66-A7F7-15D818081DC9}"/>
            </c:ext>
          </c:extLst>
        </c:ser>
        <c:ser>
          <c:idx val="1"/>
          <c:order val="1"/>
          <c:tx>
            <c:v>IN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THD_10062024!$N$3:$N$14</c:f>
              <c:numCache>
                <c:formatCode>0.0</c:formatCode>
                <c:ptCount val="12"/>
                <c:pt idx="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 formatCode="0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</c:numCache>
            </c:numRef>
          </c:xVal>
          <c:yVal>
            <c:numRef>
              <c:f>THD_10062024!$O$3:$O$14</c:f>
              <c:numCache>
                <c:formatCode>0.000</c:formatCode>
                <c:ptCount val="12"/>
                <c:pt idx="0">
                  <c:v>-150.18627759477434</c:v>
                </c:pt>
                <c:pt idx="1">
                  <c:v>-147.05416659355203</c:v>
                </c:pt>
                <c:pt idx="2">
                  <c:v>-149.03416117476073</c:v>
                </c:pt>
                <c:pt idx="3">
                  <c:v>-146.72898295376444</c:v>
                </c:pt>
                <c:pt idx="4">
                  <c:v>-141.85162474538186</c:v>
                </c:pt>
                <c:pt idx="5">
                  <c:v>-135.88068993165956</c:v>
                </c:pt>
                <c:pt idx="6">
                  <c:v>-130.53545585144118</c:v>
                </c:pt>
                <c:pt idx="7">
                  <c:v>-125.74272113659245</c:v>
                </c:pt>
                <c:pt idx="8">
                  <c:v>-125.89430451849879</c:v>
                </c:pt>
                <c:pt idx="9">
                  <c:v>-118.74109690733658</c:v>
                </c:pt>
                <c:pt idx="10">
                  <c:v>-118.00528478015383</c:v>
                </c:pt>
                <c:pt idx="11">
                  <c:v>-112.05433778794331</c:v>
                </c:pt>
              </c:numCache>
            </c:numRef>
          </c:y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92A9-4D66-A7F7-15D818081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midCat"/>
      </c:valAx>
      <c:valAx>
        <c:axId val="11"/>
        <c:scaling>
          <c:orientation val="minMax"/>
          <c:max val="-4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THD (dB)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l"/>
      <c:layout>
        <c:manualLayout>
          <c:xMode val="edge"/>
          <c:yMode val="edge"/>
          <c:x val="0.20674999999999999"/>
          <c:y val="0.17949999999999999"/>
        </c:manualLayout>
      </c:layout>
      <c:overlay val="0"/>
      <c:spPr>
        <a:noFill/>
        <a:ln w="9525">
          <a:noFill/>
        </a:ln>
      </c:spPr>
      <c:txPr>
        <a:bodyPr numCol="2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Gain vs frequency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CH2 (OUT)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'GAIN vs FREQ'!$C$5:$C$504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FREQ'!$D$5:$D$504</c:f>
              <c:numCache>
                <c:formatCode>General</c:formatCode>
                <c:ptCount val="500"/>
                <c:pt idx="0">
                  <c:v>6.860826569890178E-3</c:v>
                </c:pt>
                <c:pt idx="1">
                  <c:v>6.4828720498736102E-3</c:v>
                </c:pt>
                <c:pt idx="2">
                  <c:v>6.1088143788416991E-3</c:v>
                </c:pt>
                <c:pt idx="3">
                  <c:v>5.7773353292768712E-3</c:v>
                </c:pt>
                <c:pt idx="4">
                  <c:v>5.4375092150330991E-3</c:v>
                </c:pt>
                <c:pt idx="5">
                  <c:v>5.1168062874010897E-3</c:v>
                </c:pt>
                <c:pt idx="6">
                  <c:v>4.8306780583734794E-3</c:v>
                </c:pt>
                <c:pt idx="7">
                  <c:v>4.5088534000051802E-3</c:v>
                </c:pt>
                <c:pt idx="8">
                  <c:v>4.2055635861983007E-3</c:v>
                </c:pt>
                <c:pt idx="9">
                  <c:v>3.9012802086012799E-3</c:v>
                </c:pt>
                <c:pt idx="10">
                  <c:v>3.5948130804834694E-3</c:v>
                </c:pt>
                <c:pt idx="11">
                  <c:v>3.2986288726463697E-3</c:v>
                </c:pt>
                <c:pt idx="12">
                  <c:v>3.0047723788998205E-3</c:v>
                </c:pt>
                <c:pt idx="13">
                  <c:v>2.6816666077771802E-3</c:v>
                </c:pt>
                <c:pt idx="14">
                  <c:v>2.3931194618545498E-3</c:v>
                </c:pt>
                <c:pt idx="15">
                  <c:v>2.0820369547836694E-3</c:v>
                </c:pt>
                <c:pt idx="16">
                  <c:v>1.7389963897097502E-3</c:v>
                </c:pt>
                <c:pt idx="17">
                  <c:v>1.4032176002121001E-3</c:v>
                </c:pt>
                <c:pt idx="18">
                  <c:v>1.0908825442126303E-3</c:v>
                </c:pt>
                <c:pt idx="19">
                  <c:v>7.72209184957007E-4</c:v>
                </c:pt>
                <c:pt idx="20">
                  <c:v>4.3874050909534397E-4</c:v>
                </c:pt>
                <c:pt idx="21">
                  <c:v>1.2921679984323898E-4</c:v>
                </c:pt>
                <c:pt idx="22">
                  <c:v>-2.0637912820856003E-4</c:v>
                </c:pt>
                <c:pt idx="23">
                  <c:v>-5.3914144133513492E-4</c:v>
                </c:pt>
                <c:pt idx="24">
                  <c:v>-8.5226142058639882E-4</c:v>
                </c:pt>
                <c:pt idx="25">
                  <c:v>-1.1568336222121699E-3</c:v>
                </c:pt>
                <c:pt idx="26">
                  <c:v>-1.4659622114712801E-3</c:v>
                </c:pt>
                <c:pt idx="27">
                  <c:v>-1.8005428687382198E-3</c:v>
                </c:pt>
                <c:pt idx="28">
                  <c:v>-2.103960395777071E-3</c:v>
                </c:pt>
                <c:pt idx="29">
                  <c:v>-2.37625687230266E-3</c:v>
                </c:pt>
                <c:pt idx="30">
                  <c:v>-2.6551966521842106E-3</c:v>
                </c:pt>
                <c:pt idx="31">
                  <c:v>-2.9390242594179092E-3</c:v>
                </c:pt>
                <c:pt idx="32">
                  <c:v>-3.2204983204334905E-3</c:v>
                </c:pt>
                <c:pt idx="33">
                  <c:v>-3.4953723617021301E-3</c:v>
                </c:pt>
                <c:pt idx="34">
                  <c:v>-3.7066722356752999E-3</c:v>
                </c:pt>
                <c:pt idx="35">
                  <c:v>-3.9376656545956892E-3</c:v>
                </c:pt>
                <c:pt idx="36">
                  <c:v>-4.1559444177103003E-3</c:v>
                </c:pt>
                <c:pt idx="37">
                  <c:v>-4.3819377573273005E-3</c:v>
                </c:pt>
                <c:pt idx="38">
                  <c:v>-4.6035986570551997E-3</c:v>
                </c:pt>
                <c:pt idx="39">
                  <c:v>-4.7953855736581497E-3</c:v>
                </c:pt>
                <c:pt idx="40">
                  <c:v>-4.9780239076064889E-3</c:v>
                </c:pt>
                <c:pt idx="41">
                  <c:v>-5.1487316163926896E-3</c:v>
                </c:pt>
                <c:pt idx="42">
                  <c:v>-5.32928084719962E-3</c:v>
                </c:pt>
                <c:pt idx="43">
                  <c:v>-5.483472452867978E-3</c:v>
                </c:pt>
                <c:pt idx="44">
                  <c:v>-5.6449986355925404E-3</c:v>
                </c:pt>
                <c:pt idx="45">
                  <c:v>-5.7660065957310588E-3</c:v>
                </c:pt>
                <c:pt idx="46">
                  <c:v>-5.8942423393025809E-3</c:v>
                </c:pt>
                <c:pt idx="47">
                  <c:v>-6.0257835310072805E-3</c:v>
                </c:pt>
                <c:pt idx="48">
                  <c:v>-6.1248209773715695E-3</c:v>
                </c:pt>
                <c:pt idx="49">
                  <c:v>-6.2411830002022887E-3</c:v>
                </c:pt>
                <c:pt idx="50">
                  <c:v>-6.3230274524530205E-3</c:v>
                </c:pt>
                <c:pt idx="51">
                  <c:v>-6.4321228602697601E-3</c:v>
                </c:pt>
                <c:pt idx="52">
                  <c:v>-6.490263303208987E-3</c:v>
                </c:pt>
                <c:pt idx="53">
                  <c:v>-6.5617256754829508E-3</c:v>
                </c:pt>
                <c:pt idx="54">
                  <c:v>-6.7022531854357588E-3</c:v>
                </c:pt>
                <c:pt idx="55">
                  <c:v>-6.7358260906214707E-3</c:v>
                </c:pt>
                <c:pt idx="56">
                  <c:v>-6.7718633711270609E-3</c:v>
                </c:pt>
                <c:pt idx="57">
                  <c:v>-6.8415062145083406E-3</c:v>
                </c:pt>
                <c:pt idx="58">
                  <c:v>-6.8960909957731086E-3</c:v>
                </c:pt>
                <c:pt idx="59">
                  <c:v>-6.9276834354968205E-3</c:v>
                </c:pt>
                <c:pt idx="60">
                  <c:v>-6.9708393589784003E-3</c:v>
                </c:pt>
                <c:pt idx="61">
                  <c:v>-6.999269507324859E-3</c:v>
                </c:pt>
                <c:pt idx="62">
                  <c:v>-7.0492483472613101E-3</c:v>
                </c:pt>
                <c:pt idx="63">
                  <c:v>-7.0659709933218106E-3</c:v>
                </c:pt>
                <c:pt idx="64">
                  <c:v>-7.0930162124245612E-3</c:v>
                </c:pt>
                <c:pt idx="65">
                  <c:v>-7.1292746962645492E-3</c:v>
                </c:pt>
                <c:pt idx="66">
                  <c:v>-7.1623955472540201E-3</c:v>
                </c:pt>
                <c:pt idx="67">
                  <c:v>-7.2015578226203294E-3</c:v>
                </c:pt>
                <c:pt idx="68">
                  <c:v>-7.2455321405899111E-3</c:v>
                </c:pt>
                <c:pt idx="69">
                  <c:v>-7.2471610618947708E-3</c:v>
                </c:pt>
                <c:pt idx="70">
                  <c:v>-7.2641549713544692E-3</c:v>
                </c:pt>
                <c:pt idx="71">
                  <c:v>-7.276286559394358E-3</c:v>
                </c:pt>
                <c:pt idx="72">
                  <c:v>-7.316570755203298E-3</c:v>
                </c:pt>
                <c:pt idx="73">
                  <c:v>-7.3399836855597795E-3</c:v>
                </c:pt>
                <c:pt idx="74">
                  <c:v>-7.3700905916950213E-3</c:v>
                </c:pt>
                <c:pt idx="75">
                  <c:v>-7.3846945349188209E-3</c:v>
                </c:pt>
                <c:pt idx="76">
                  <c:v>-7.4193779819196701E-3</c:v>
                </c:pt>
                <c:pt idx="77">
                  <c:v>-7.4491187745112297E-3</c:v>
                </c:pt>
                <c:pt idx="78">
                  <c:v>-7.4674579150183712E-3</c:v>
                </c:pt>
                <c:pt idx="79">
                  <c:v>-7.4997468707218582E-3</c:v>
                </c:pt>
                <c:pt idx="80">
                  <c:v>-7.5108427304304793E-3</c:v>
                </c:pt>
                <c:pt idx="81">
                  <c:v>-7.5334711330564798E-3</c:v>
                </c:pt>
                <c:pt idx="82">
                  <c:v>-7.5620153420676971E-3</c:v>
                </c:pt>
                <c:pt idx="83">
                  <c:v>-7.5893075301770004E-3</c:v>
                </c:pt>
                <c:pt idx="84">
                  <c:v>-7.6121144820575802E-3</c:v>
                </c:pt>
                <c:pt idx="85">
                  <c:v>-7.63331525742998E-3</c:v>
                </c:pt>
                <c:pt idx="86">
                  <c:v>-7.6571744832926404E-3</c:v>
                </c:pt>
                <c:pt idx="87">
                  <c:v>-7.6883982250715802E-3</c:v>
                </c:pt>
                <c:pt idx="88">
                  <c:v>-7.708514643460119E-3</c:v>
                </c:pt>
                <c:pt idx="89">
                  <c:v>-7.7427819750849293E-3</c:v>
                </c:pt>
                <c:pt idx="90">
                  <c:v>-7.7687928739396898E-3</c:v>
                </c:pt>
                <c:pt idx="91">
                  <c:v>-7.8154052676095587E-3</c:v>
                </c:pt>
                <c:pt idx="92">
                  <c:v>-7.8490881586608299E-3</c:v>
                </c:pt>
                <c:pt idx="93">
                  <c:v>-7.8660729154754298E-3</c:v>
                </c:pt>
                <c:pt idx="94">
                  <c:v>-7.8887527396322554E-3</c:v>
                </c:pt>
                <c:pt idx="95">
                  <c:v>-7.9336568900515783E-3</c:v>
                </c:pt>
                <c:pt idx="96">
                  <c:v>-7.93005642858325E-3</c:v>
                </c:pt>
                <c:pt idx="97">
                  <c:v>-7.9790526123317811E-3</c:v>
                </c:pt>
                <c:pt idx="98">
                  <c:v>-8.0163314833139807E-3</c:v>
                </c:pt>
                <c:pt idx="99">
                  <c:v>-8.0397437176520092E-3</c:v>
                </c:pt>
                <c:pt idx="100">
                  <c:v>-8.0777672354835298E-3</c:v>
                </c:pt>
                <c:pt idx="101">
                  <c:v>-8.1162371231028804E-3</c:v>
                </c:pt>
                <c:pt idx="102">
                  <c:v>-8.1436536718396194E-3</c:v>
                </c:pt>
                <c:pt idx="103">
                  <c:v>-8.1823525386910175E-3</c:v>
                </c:pt>
                <c:pt idx="104">
                  <c:v>-8.2087167163169984E-3</c:v>
                </c:pt>
                <c:pt idx="105">
                  <c:v>-8.2569194154652591E-3</c:v>
                </c:pt>
                <c:pt idx="106">
                  <c:v>-8.3167167062296477E-3</c:v>
                </c:pt>
                <c:pt idx="107">
                  <c:v>-8.3240248890925697E-3</c:v>
                </c:pt>
                <c:pt idx="108">
                  <c:v>-8.3404895253681097E-3</c:v>
                </c:pt>
                <c:pt idx="109">
                  <c:v>-8.3872270448786534E-3</c:v>
                </c:pt>
                <c:pt idx="110">
                  <c:v>-8.4057812304069186E-3</c:v>
                </c:pt>
                <c:pt idx="111">
                  <c:v>-8.4424075096286594E-3</c:v>
                </c:pt>
                <c:pt idx="112">
                  <c:v>-8.4803558555868117E-3</c:v>
                </c:pt>
                <c:pt idx="113">
                  <c:v>-8.5313334838481598E-3</c:v>
                </c:pt>
                <c:pt idx="114">
                  <c:v>-8.5709492279373422E-3</c:v>
                </c:pt>
                <c:pt idx="115">
                  <c:v>-8.5910492935473287E-3</c:v>
                </c:pt>
                <c:pt idx="116">
                  <c:v>-8.6151729525023608E-3</c:v>
                </c:pt>
                <c:pt idx="117">
                  <c:v>-8.663458536458191E-3</c:v>
                </c:pt>
                <c:pt idx="118">
                  <c:v>-8.6818435298422203E-3</c:v>
                </c:pt>
                <c:pt idx="119">
                  <c:v>-8.7124362446749093E-3</c:v>
                </c:pt>
                <c:pt idx="120">
                  <c:v>-8.7404237198448788E-3</c:v>
                </c:pt>
                <c:pt idx="121">
                  <c:v>-8.7484409025583975E-3</c:v>
                </c:pt>
                <c:pt idx="122">
                  <c:v>-8.7893631297963695E-3</c:v>
                </c:pt>
                <c:pt idx="123">
                  <c:v>-8.8108512524631092E-3</c:v>
                </c:pt>
                <c:pt idx="124">
                  <c:v>-8.8519250166250018E-3</c:v>
                </c:pt>
                <c:pt idx="125">
                  <c:v>-8.8868042197870374E-3</c:v>
                </c:pt>
                <c:pt idx="126">
                  <c:v>-8.9114768772996303E-3</c:v>
                </c:pt>
                <c:pt idx="127">
                  <c:v>-8.9387964867460798E-3</c:v>
                </c:pt>
                <c:pt idx="128">
                  <c:v>-8.9673394546618615E-3</c:v>
                </c:pt>
                <c:pt idx="129">
                  <c:v>-8.9916294791814299E-3</c:v>
                </c:pt>
                <c:pt idx="130">
                  <c:v>-9.0229975153836798E-3</c:v>
                </c:pt>
                <c:pt idx="131">
                  <c:v>-9.056245216297526E-3</c:v>
                </c:pt>
                <c:pt idx="132">
                  <c:v>-9.0998622145386805E-3</c:v>
                </c:pt>
                <c:pt idx="133">
                  <c:v>-9.1017026730013263E-3</c:v>
                </c:pt>
                <c:pt idx="134">
                  <c:v>-9.1208999051828488E-3</c:v>
                </c:pt>
                <c:pt idx="135">
                  <c:v>-9.1545735812784187E-3</c:v>
                </c:pt>
                <c:pt idx="136">
                  <c:v>-9.1701968782681598E-3</c:v>
                </c:pt>
                <c:pt idx="137">
                  <c:v>-9.2018755222619594E-3</c:v>
                </c:pt>
                <c:pt idx="138">
                  <c:v>-9.2140832178455503E-3</c:v>
                </c:pt>
                <c:pt idx="139">
                  <c:v>-9.2467359548634599E-3</c:v>
                </c:pt>
                <c:pt idx="140">
                  <c:v>-9.2790440833068998E-3</c:v>
                </c:pt>
                <c:pt idx="141">
                  <c:v>-9.2881086107047817E-3</c:v>
                </c:pt>
                <c:pt idx="142">
                  <c:v>-9.3445240143010203E-3</c:v>
                </c:pt>
                <c:pt idx="143">
                  <c:v>-9.3234073187603208E-3</c:v>
                </c:pt>
                <c:pt idx="144">
                  <c:v>-9.348902619954828E-3</c:v>
                </c:pt>
                <c:pt idx="145">
                  <c:v>-9.3575862992492098E-3</c:v>
                </c:pt>
                <c:pt idx="146">
                  <c:v>-9.3870479763895811E-3</c:v>
                </c:pt>
                <c:pt idx="147">
                  <c:v>-9.4112242458994581E-3</c:v>
                </c:pt>
                <c:pt idx="148">
                  <c:v>-9.4424716010339995E-3</c:v>
                </c:pt>
                <c:pt idx="149">
                  <c:v>-9.4440227365190418E-3</c:v>
                </c:pt>
                <c:pt idx="150">
                  <c:v>-9.4742294763666014E-3</c:v>
                </c:pt>
                <c:pt idx="151">
                  <c:v>-9.4857744757447307E-3</c:v>
                </c:pt>
                <c:pt idx="152">
                  <c:v>-9.5054052948431288E-3</c:v>
                </c:pt>
                <c:pt idx="153">
                  <c:v>-9.5176793587475675E-3</c:v>
                </c:pt>
                <c:pt idx="154">
                  <c:v>-9.5416796023069413E-3</c:v>
                </c:pt>
                <c:pt idx="155">
                  <c:v>-9.5676168815705797E-3</c:v>
                </c:pt>
                <c:pt idx="156">
                  <c:v>-9.5755858451571484E-3</c:v>
                </c:pt>
                <c:pt idx="157">
                  <c:v>-9.5584029684415029E-3</c:v>
                </c:pt>
                <c:pt idx="158">
                  <c:v>-9.5949746152077589E-3</c:v>
                </c:pt>
                <c:pt idx="159">
                  <c:v>-9.6051309061841676E-3</c:v>
                </c:pt>
                <c:pt idx="160">
                  <c:v>-9.6200322900324483E-3</c:v>
                </c:pt>
                <c:pt idx="161">
                  <c:v>-9.6169394079724108E-3</c:v>
                </c:pt>
                <c:pt idx="162">
                  <c:v>-9.6276141983535901E-3</c:v>
                </c:pt>
                <c:pt idx="163">
                  <c:v>-9.6765678032026022E-3</c:v>
                </c:pt>
                <c:pt idx="164">
                  <c:v>-9.6846976861819315E-3</c:v>
                </c:pt>
                <c:pt idx="165">
                  <c:v>-9.6950964349698243E-3</c:v>
                </c:pt>
                <c:pt idx="166">
                  <c:v>-9.6905146609574597E-3</c:v>
                </c:pt>
                <c:pt idx="167">
                  <c:v>-9.6926470292120082E-3</c:v>
                </c:pt>
                <c:pt idx="168">
                  <c:v>-9.7172926095486396E-3</c:v>
                </c:pt>
                <c:pt idx="169">
                  <c:v>-9.7187079323877001E-3</c:v>
                </c:pt>
                <c:pt idx="170">
                  <c:v>-9.7206838269026097E-3</c:v>
                </c:pt>
                <c:pt idx="171">
                  <c:v>-9.7420275515079369E-3</c:v>
                </c:pt>
                <c:pt idx="172">
                  <c:v>-9.754879137856819E-3</c:v>
                </c:pt>
                <c:pt idx="173">
                  <c:v>-9.7486292028842216E-3</c:v>
                </c:pt>
                <c:pt idx="174">
                  <c:v>-9.781390681789584E-3</c:v>
                </c:pt>
                <c:pt idx="175">
                  <c:v>-9.779141192459569E-3</c:v>
                </c:pt>
                <c:pt idx="176">
                  <c:v>-9.7908999212225206E-3</c:v>
                </c:pt>
                <c:pt idx="177">
                  <c:v>-9.7992188282843059E-3</c:v>
                </c:pt>
                <c:pt idx="178">
                  <c:v>-9.8385579688368106E-3</c:v>
                </c:pt>
                <c:pt idx="179">
                  <c:v>-9.8740940169485501E-3</c:v>
                </c:pt>
                <c:pt idx="180">
                  <c:v>-9.8483182130347999E-3</c:v>
                </c:pt>
                <c:pt idx="181">
                  <c:v>-9.8367991574942262E-3</c:v>
                </c:pt>
                <c:pt idx="182">
                  <c:v>-9.8531088330298874E-3</c:v>
                </c:pt>
                <c:pt idx="183">
                  <c:v>-9.8682241675143011E-3</c:v>
                </c:pt>
                <c:pt idx="184">
                  <c:v>-9.8607628550473406E-3</c:v>
                </c:pt>
                <c:pt idx="185">
                  <c:v>-9.8807327142768006E-3</c:v>
                </c:pt>
                <c:pt idx="186">
                  <c:v>-9.8680223467385603E-3</c:v>
                </c:pt>
                <c:pt idx="187">
                  <c:v>-9.8935935311327983E-3</c:v>
                </c:pt>
                <c:pt idx="188">
                  <c:v>-9.9055571518110591E-3</c:v>
                </c:pt>
                <c:pt idx="189">
                  <c:v>-9.8950483913973486E-3</c:v>
                </c:pt>
                <c:pt idx="190">
                  <c:v>-9.8893999753091304E-3</c:v>
                </c:pt>
                <c:pt idx="191">
                  <c:v>-9.903096476309721E-3</c:v>
                </c:pt>
                <c:pt idx="192">
                  <c:v>-9.9235568119039885E-3</c:v>
                </c:pt>
                <c:pt idx="193">
                  <c:v>-9.9214762224399278E-3</c:v>
                </c:pt>
                <c:pt idx="194">
                  <c:v>-9.9390208308825414E-3</c:v>
                </c:pt>
                <c:pt idx="195">
                  <c:v>-9.9207288112443514E-3</c:v>
                </c:pt>
                <c:pt idx="196">
                  <c:v>-9.9335171260439403E-3</c:v>
                </c:pt>
                <c:pt idx="197">
                  <c:v>-9.9381757722476066E-3</c:v>
                </c:pt>
                <c:pt idx="198">
                  <c:v>-9.9358406684005481E-3</c:v>
                </c:pt>
                <c:pt idx="199">
                  <c:v>-9.9348520784502421E-3</c:v>
                </c:pt>
                <c:pt idx="200">
                  <c:v>-9.9435763206544101E-3</c:v>
                </c:pt>
                <c:pt idx="201">
                  <c:v>-9.9590114960527044E-3</c:v>
                </c:pt>
                <c:pt idx="202">
                  <c:v>-9.9548298699273785E-3</c:v>
                </c:pt>
                <c:pt idx="203">
                  <c:v>-9.9513650851481093E-3</c:v>
                </c:pt>
                <c:pt idx="204">
                  <c:v>-9.9449501389250201E-3</c:v>
                </c:pt>
                <c:pt idx="205">
                  <c:v>-9.9582729377619209E-3</c:v>
                </c:pt>
                <c:pt idx="206">
                  <c:v>-9.9565651668201798E-3</c:v>
                </c:pt>
                <c:pt idx="207">
                  <c:v>-9.9677394125016073E-3</c:v>
                </c:pt>
                <c:pt idx="208">
                  <c:v>-9.9558378264732409E-3</c:v>
                </c:pt>
                <c:pt idx="209">
                  <c:v>-9.9691094853256706E-3</c:v>
                </c:pt>
                <c:pt idx="210">
                  <c:v>-9.9552293180615106E-3</c:v>
                </c:pt>
                <c:pt idx="211">
                  <c:v>-9.9684249553957278E-3</c:v>
                </c:pt>
                <c:pt idx="212">
                  <c:v>-9.9908907321566275E-3</c:v>
                </c:pt>
                <c:pt idx="213">
                  <c:v>-1.0009433846776199E-2</c:v>
                </c:pt>
                <c:pt idx="214">
                  <c:v>-9.9866111683842695E-3</c:v>
                </c:pt>
                <c:pt idx="215">
                  <c:v>-9.9802348263462008E-3</c:v>
                </c:pt>
                <c:pt idx="216">
                  <c:v>-9.9890375915472791E-3</c:v>
                </c:pt>
                <c:pt idx="217">
                  <c:v>-9.9875181577414804E-3</c:v>
                </c:pt>
                <c:pt idx="218">
                  <c:v>-9.9954616915878813E-3</c:v>
                </c:pt>
                <c:pt idx="219">
                  <c:v>-9.9837128484286872E-3</c:v>
                </c:pt>
                <c:pt idx="220">
                  <c:v>-9.995693615724761E-3</c:v>
                </c:pt>
                <c:pt idx="221">
                  <c:v>-9.9825233558612E-3</c:v>
                </c:pt>
                <c:pt idx="222">
                  <c:v>-9.99367449742148E-3</c:v>
                </c:pt>
                <c:pt idx="223">
                  <c:v>-1.0010706047359598E-2</c:v>
                </c:pt>
                <c:pt idx="224">
                  <c:v>-1.00142740010166E-2</c:v>
                </c:pt>
                <c:pt idx="225">
                  <c:v>-9.9907151947853934E-3</c:v>
                </c:pt>
                <c:pt idx="226">
                  <c:v>-9.9772159544008598E-3</c:v>
                </c:pt>
                <c:pt idx="227">
                  <c:v>-9.9805953426401767E-3</c:v>
                </c:pt>
                <c:pt idx="228">
                  <c:v>-9.9939668754652992E-3</c:v>
                </c:pt>
                <c:pt idx="229">
                  <c:v>-9.9890018900431199E-3</c:v>
                </c:pt>
                <c:pt idx="230">
                  <c:v>-9.9967494657237643E-3</c:v>
                </c:pt>
                <c:pt idx="231">
                  <c:v>-1.0002856029179998E-2</c:v>
                </c:pt>
                <c:pt idx="232">
                  <c:v>-9.9887303793096977E-3</c:v>
                </c:pt>
                <c:pt idx="233">
                  <c:v>-9.9903350902482684E-3</c:v>
                </c:pt>
                <c:pt idx="234">
                  <c:v>-9.9941806832979218E-3</c:v>
                </c:pt>
                <c:pt idx="235">
                  <c:v>-1.00076646142092E-2</c:v>
                </c:pt>
                <c:pt idx="236">
                  <c:v>-9.9851832249571726E-3</c:v>
                </c:pt>
                <c:pt idx="237">
                  <c:v>-9.9791958412654702E-3</c:v>
                </c:pt>
                <c:pt idx="238">
                  <c:v>-9.9825108103494108E-3</c:v>
                </c:pt>
                <c:pt idx="239">
                  <c:v>-9.9877840785617608E-3</c:v>
                </c:pt>
                <c:pt idx="240">
                  <c:v>-9.9949227438083602E-3</c:v>
                </c:pt>
                <c:pt idx="241">
                  <c:v>-9.9929292605659796E-3</c:v>
                </c:pt>
                <c:pt idx="242">
                  <c:v>-9.9876663917562013E-3</c:v>
                </c:pt>
                <c:pt idx="243">
                  <c:v>-9.9938585002915682E-3</c:v>
                </c:pt>
                <c:pt idx="244">
                  <c:v>-9.9723490043810096E-3</c:v>
                </c:pt>
                <c:pt idx="245">
                  <c:v>-9.991697207454648E-3</c:v>
                </c:pt>
                <c:pt idx="246">
                  <c:v>-9.9819167557546051E-3</c:v>
                </c:pt>
                <c:pt idx="247">
                  <c:v>-9.97418479632174E-3</c:v>
                </c:pt>
                <c:pt idx="248">
                  <c:v>-9.9687881020857905E-3</c:v>
                </c:pt>
                <c:pt idx="249">
                  <c:v>-9.9755630704306403E-3</c:v>
                </c:pt>
                <c:pt idx="250">
                  <c:v>-9.9878480090181479E-3</c:v>
                </c:pt>
                <c:pt idx="251">
                  <c:v>-9.9640157801977446E-3</c:v>
                </c:pt>
                <c:pt idx="252">
                  <c:v>-9.9483575888874593E-3</c:v>
                </c:pt>
                <c:pt idx="253">
                  <c:v>-9.9649613716466072E-3</c:v>
                </c:pt>
                <c:pt idx="254">
                  <c:v>-9.9580735255334393E-3</c:v>
                </c:pt>
                <c:pt idx="255">
                  <c:v>-9.9690374686365671E-3</c:v>
                </c:pt>
                <c:pt idx="256">
                  <c:v>-9.973501357130753E-3</c:v>
                </c:pt>
                <c:pt idx="257">
                  <c:v>-9.9727078789889276E-3</c:v>
                </c:pt>
                <c:pt idx="258">
                  <c:v>-9.9732955668181099E-3</c:v>
                </c:pt>
                <c:pt idx="259">
                  <c:v>-9.9694945340075298E-3</c:v>
                </c:pt>
                <c:pt idx="260">
                  <c:v>-9.9941878273292085E-3</c:v>
                </c:pt>
                <c:pt idx="261">
                  <c:v>-9.9732717667376392E-3</c:v>
                </c:pt>
                <c:pt idx="262">
                  <c:v>-9.9570005239072185E-3</c:v>
                </c:pt>
                <c:pt idx="263">
                  <c:v>-9.9699194956007885E-3</c:v>
                </c:pt>
                <c:pt idx="264">
                  <c:v>-9.9548903025520313E-3</c:v>
                </c:pt>
                <c:pt idx="265">
                  <c:v>-9.9523358077759361E-3</c:v>
                </c:pt>
                <c:pt idx="266">
                  <c:v>-9.9778457437546004E-3</c:v>
                </c:pt>
                <c:pt idx="267">
                  <c:v>-9.9297766696673107E-3</c:v>
                </c:pt>
                <c:pt idx="268">
                  <c:v>-9.96472100997693E-3</c:v>
                </c:pt>
                <c:pt idx="269">
                  <c:v>-9.9533145400728627E-3</c:v>
                </c:pt>
                <c:pt idx="270">
                  <c:v>-9.9604588323832805E-3</c:v>
                </c:pt>
                <c:pt idx="271">
                  <c:v>-9.9358977795287896E-3</c:v>
                </c:pt>
                <c:pt idx="272">
                  <c:v>-9.9368067162100508E-3</c:v>
                </c:pt>
                <c:pt idx="273">
                  <c:v>-9.9526886808169804E-3</c:v>
                </c:pt>
                <c:pt idx="274">
                  <c:v>-9.9671223377207699E-3</c:v>
                </c:pt>
                <c:pt idx="275">
                  <c:v>-9.9481643592068663E-3</c:v>
                </c:pt>
                <c:pt idx="276">
                  <c:v>-9.9238563043378102E-3</c:v>
                </c:pt>
                <c:pt idx="277">
                  <c:v>-9.9286328873160589E-3</c:v>
                </c:pt>
                <c:pt idx="278">
                  <c:v>-9.8978813102629411E-3</c:v>
                </c:pt>
                <c:pt idx="279">
                  <c:v>-9.9305731276973196E-3</c:v>
                </c:pt>
                <c:pt idx="280">
                  <c:v>-9.9301823895932909E-3</c:v>
                </c:pt>
                <c:pt idx="281">
                  <c:v>-9.9279945300732985E-3</c:v>
                </c:pt>
                <c:pt idx="282">
                  <c:v>-9.9228319067522566E-3</c:v>
                </c:pt>
                <c:pt idx="283">
                  <c:v>-9.9242283109682427E-3</c:v>
                </c:pt>
                <c:pt idx="284">
                  <c:v>-9.9203640204300475E-3</c:v>
                </c:pt>
                <c:pt idx="285">
                  <c:v>-9.9126918953808991E-3</c:v>
                </c:pt>
                <c:pt idx="286">
                  <c:v>-9.9047182576236705E-3</c:v>
                </c:pt>
                <c:pt idx="287">
                  <c:v>-9.9225582820313424E-3</c:v>
                </c:pt>
                <c:pt idx="288">
                  <c:v>-9.9226386286207901E-3</c:v>
                </c:pt>
                <c:pt idx="289">
                  <c:v>-9.8877744814805397E-3</c:v>
                </c:pt>
                <c:pt idx="290">
                  <c:v>-9.8852341796250246E-3</c:v>
                </c:pt>
                <c:pt idx="291">
                  <c:v>-9.9089729385896646E-3</c:v>
                </c:pt>
                <c:pt idx="292">
                  <c:v>-9.9034015371515394E-3</c:v>
                </c:pt>
                <c:pt idx="293">
                  <c:v>-9.9079595873881807E-3</c:v>
                </c:pt>
                <c:pt idx="294">
                  <c:v>-9.8879364589319011E-3</c:v>
                </c:pt>
                <c:pt idx="295">
                  <c:v>-9.8934603840761803E-3</c:v>
                </c:pt>
                <c:pt idx="296">
                  <c:v>-9.8902547504363808E-3</c:v>
                </c:pt>
                <c:pt idx="297">
                  <c:v>-9.9224307900362806E-3</c:v>
                </c:pt>
                <c:pt idx="298">
                  <c:v>-9.8922515266665761E-3</c:v>
                </c:pt>
                <c:pt idx="299">
                  <c:v>-9.9019248809153679E-3</c:v>
                </c:pt>
                <c:pt idx="300">
                  <c:v>-9.9063071897339799E-3</c:v>
                </c:pt>
                <c:pt idx="301">
                  <c:v>-9.8942557374648195E-3</c:v>
                </c:pt>
                <c:pt idx="302">
                  <c:v>-9.886629125352148E-3</c:v>
                </c:pt>
                <c:pt idx="303">
                  <c:v>-9.9096346503487198E-3</c:v>
                </c:pt>
                <c:pt idx="304">
                  <c:v>-9.9115024166366479E-3</c:v>
                </c:pt>
                <c:pt idx="305">
                  <c:v>-9.9118671005408391E-3</c:v>
                </c:pt>
                <c:pt idx="306">
                  <c:v>-9.926680256130728E-3</c:v>
                </c:pt>
                <c:pt idx="307">
                  <c:v>-9.9124651569516397E-3</c:v>
                </c:pt>
                <c:pt idx="308">
                  <c:v>-9.9045532226026967E-3</c:v>
                </c:pt>
                <c:pt idx="309">
                  <c:v>-9.9167181069917589E-3</c:v>
                </c:pt>
                <c:pt idx="310">
                  <c:v>-9.9158237345947798E-3</c:v>
                </c:pt>
                <c:pt idx="311">
                  <c:v>-9.8923855130724093E-3</c:v>
                </c:pt>
                <c:pt idx="312">
                  <c:v>-9.9182503643773633E-3</c:v>
                </c:pt>
                <c:pt idx="313">
                  <c:v>-9.9053689106593616E-3</c:v>
                </c:pt>
                <c:pt idx="314">
                  <c:v>-9.9265501574185479E-3</c:v>
                </c:pt>
                <c:pt idx="315">
                  <c:v>-9.9047866610387988E-3</c:v>
                </c:pt>
                <c:pt idx="316">
                  <c:v>-9.9000808472500812E-3</c:v>
                </c:pt>
                <c:pt idx="317">
                  <c:v>-9.9074145359976593E-3</c:v>
                </c:pt>
                <c:pt idx="318">
                  <c:v>-9.8932243226220462E-3</c:v>
                </c:pt>
                <c:pt idx="319">
                  <c:v>-9.8896764347305207E-3</c:v>
                </c:pt>
                <c:pt idx="320">
                  <c:v>-9.9280239624294012E-3</c:v>
                </c:pt>
                <c:pt idx="321">
                  <c:v>-9.910217861270049E-3</c:v>
                </c:pt>
                <c:pt idx="322">
                  <c:v>-9.9027713553582804E-3</c:v>
                </c:pt>
                <c:pt idx="323">
                  <c:v>-9.8857886260273996E-3</c:v>
                </c:pt>
                <c:pt idx="324">
                  <c:v>-9.9041474523402905E-3</c:v>
                </c:pt>
                <c:pt idx="325">
                  <c:v>-9.9116964109406801E-3</c:v>
                </c:pt>
                <c:pt idx="326">
                  <c:v>-9.9213079966299703E-3</c:v>
                </c:pt>
                <c:pt idx="327">
                  <c:v>-9.902108632134022E-3</c:v>
                </c:pt>
                <c:pt idx="328">
                  <c:v>-9.9040566835799371E-3</c:v>
                </c:pt>
                <c:pt idx="329">
                  <c:v>-9.9002392368935672E-3</c:v>
                </c:pt>
                <c:pt idx="330">
                  <c:v>-9.9143155566731589E-3</c:v>
                </c:pt>
                <c:pt idx="331">
                  <c:v>-9.8918547974663623E-3</c:v>
                </c:pt>
                <c:pt idx="332">
                  <c:v>-9.88180280956189E-3</c:v>
                </c:pt>
                <c:pt idx="333">
                  <c:v>-9.9132711147022091E-3</c:v>
                </c:pt>
                <c:pt idx="334">
                  <c:v>-9.9308850390743188E-3</c:v>
                </c:pt>
                <c:pt idx="335">
                  <c:v>-9.9047032765022108E-3</c:v>
                </c:pt>
                <c:pt idx="336">
                  <c:v>-9.9370641517991815E-3</c:v>
                </c:pt>
                <c:pt idx="337">
                  <c:v>-9.9424562997260171E-3</c:v>
                </c:pt>
                <c:pt idx="338">
                  <c:v>-9.9495413770177288E-3</c:v>
                </c:pt>
                <c:pt idx="339">
                  <c:v>-9.9199289121390585E-3</c:v>
                </c:pt>
                <c:pt idx="340">
                  <c:v>-9.9442917582266404E-3</c:v>
                </c:pt>
                <c:pt idx="341">
                  <c:v>-9.9228196839202081E-3</c:v>
                </c:pt>
                <c:pt idx="342">
                  <c:v>-9.9256094603133102E-3</c:v>
                </c:pt>
                <c:pt idx="343">
                  <c:v>-9.930058086291868E-3</c:v>
                </c:pt>
                <c:pt idx="344">
                  <c:v>-9.9489378564132976E-3</c:v>
                </c:pt>
                <c:pt idx="345">
                  <c:v>-9.9318505942709405E-3</c:v>
                </c:pt>
                <c:pt idx="346">
                  <c:v>-9.9412258460896494E-3</c:v>
                </c:pt>
                <c:pt idx="347">
                  <c:v>-9.9503302158609197E-3</c:v>
                </c:pt>
                <c:pt idx="348">
                  <c:v>-9.9326470029857603E-3</c:v>
                </c:pt>
                <c:pt idx="349">
                  <c:v>-9.9566879938211474E-3</c:v>
                </c:pt>
                <c:pt idx="350">
                  <c:v>-9.9433186199451695E-3</c:v>
                </c:pt>
                <c:pt idx="351">
                  <c:v>-9.9401709065728983E-3</c:v>
                </c:pt>
                <c:pt idx="352">
                  <c:v>-9.9467927132735213E-3</c:v>
                </c:pt>
                <c:pt idx="353">
                  <c:v>-9.9793034686805199E-3</c:v>
                </c:pt>
                <c:pt idx="354">
                  <c:v>-9.9528295952166588E-3</c:v>
                </c:pt>
                <c:pt idx="355">
                  <c:v>-9.9910612944899523E-3</c:v>
                </c:pt>
                <c:pt idx="356">
                  <c:v>-9.995088860258225E-3</c:v>
                </c:pt>
                <c:pt idx="357">
                  <c:v>-1.0005194636168798E-2</c:v>
                </c:pt>
                <c:pt idx="358">
                  <c:v>-1.0036753253224102E-2</c:v>
                </c:pt>
                <c:pt idx="359">
                  <c:v>-1.0016088471629601E-2</c:v>
                </c:pt>
                <c:pt idx="360">
                  <c:v>-1.00053201877034E-2</c:v>
                </c:pt>
                <c:pt idx="361">
                  <c:v>-1.0047296415222401E-2</c:v>
                </c:pt>
                <c:pt idx="362">
                  <c:v>-1.0018343365719402E-2</c:v>
                </c:pt>
                <c:pt idx="363">
                  <c:v>-1.0002308953934702E-2</c:v>
                </c:pt>
                <c:pt idx="364">
                  <c:v>-1.0027788351956099E-2</c:v>
                </c:pt>
                <c:pt idx="365">
                  <c:v>-1.00560408482977E-2</c:v>
                </c:pt>
                <c:pt idx="366">
                  <c:v>-1.0034780221824101E-2</c:v>
                </c:pt>
                <c:pt idx="367">
                  <c:v>-1.0067184004232899E-2</c:v>
                </c:pt>
                <c:pt idx="368">
                  <c:v>-1.0046104561478399E-2</c:v>
                </c:pt>
                <c:pt idx="369">
                  <c:v>-1.00475476016476E-2</c:v>
                </c:pt>
                <c:pt idx="370">
                  <c:v>-1.0093362313025801E-2</c:v>
                </c:pt>
                <c:pt idx="371">
                  <c:v>-1.0127725394736E-2</c:v>
                </c:pt>
                <c:pt idx="372">
                  <c:v>-1.0097916802365601E-2</c:v>
                </c:pt>
                <c:pt idx="373">
                  <c:v>-1.0077021893909599E-2</c:v>
                </c:pt>
                <c:pt idx="374">
                  <c:v>-1.0134224908222703E-2</c:v>
                </c:pt>
                <c:pt idx="375">
                  <c:v>-1.01750753156795E-2</c:v>
                </c:pt>
                <c:pt idx="376">
                  <c:v>-1.0171384368277699E-2</c:v>
                </c:pt>
                <c:pt idx="377">
                  <c:v>-1.01513698062176E-2</c:v>
                </c:pt>
                <c:pt idx="378">
                  <c:v>-1.0199515170874E-2</c:v>
                </c:pt>
                <c:pt idx="379">
                  <c:v>-1.01808799320977E-2</c:v>
                </c:pt>
                <c:pt idx="380">
                  <c:v>-1.01806786285086E-2</c:v>
                </c:pt>
                <c:pt idx="381">
                  <c:v>-1.0186365351690598E-2</c:v>
                </c:pt>
                <c:pt idx="382">
                  <c:v>-1.0204443902131002E-2</c:v>
                </c:pt>
                <c:pt idx="383">
                  <c:v>-1.02018972614963E-2</c:v>
                </c:pt>
                <c:pt idx="384">
                  <c:v>-1.02192517892036E-2</c:v>
                </c:pt>
                <c:pt idx="385">
                  <c:v>-1.0262165823106599E-2</c:v>
                </c:pt>
                <c:pt idx="386">
                  <c:v>-1.0225916598366601E-2</c:v>
                </c:pt>
                <c:pt idx="387">
                  <c:v>-1.0244343870305501E-2</c:v>
                </c:pt>
                <c:pt idx="388">
                  <c:v>-1.02928289640096E-2</c:v>
                </c:pt>
                <c:pt idx="389">
                  <c:v>-1.0292323730367396E-2</c:v>
                </c:pt>
                <c:pt idx="390">
                  <c:v>-1.0278286929305802E-2</c:v>
                </c:pt>
                <c:pt idx="391">
                  <c:v>-1.03204528862495E-2</c:v>
                </c:pt>
                <c:pt idx="392">
                  <c:v>-1.0298038868692801E-2</c:v>
                </c:pt>
                <c:pt idx="393">
                  <c:v>-1.0334989074187199E-2</c:v>
                </c:pt>
                <c:pt idx="394">
                  <c:v>-1.03663499521029E-2</c:v>
                </c:pt>
                <c:pt idx="395">
                  <c:v>-1.04481694149268E-2</c:v>
                </c:pt>
                <c:pt idx="396">
                  <c:v>-1.04028801276925E-2</c:v>
                </c:pt>
                <c:pt idx="397">
                  <c:v>-1.0448874223675799E-2</c:v>
                </c:pt>
                <c:pt idx="398">
                  <c:v>-1.0470941693009798E-2</c:v>
                </c:pt>
                <c:pt idx="399">
                  <c:v>-1.04458589475826E-2</c:v>
                </c:pt>
                <c:pt idx="400">
                  <c:v>-1.04543643121831E-2</c:v>
                </c:pt>
                <c:pt idx="401">
                  <c:v>-1.05679405132007E-2</c:v>
                </c:pt>
                <c:pt idx="402">
                  <c:v>-1.0500043349528296E-2</c:v>
                </c:pt>
                <c:pt idx="403">
                  <c:v>-9.8713029830206824E-3</c:v>
                </c:pt>
                <c:pt idx="404">
                  <c:v>-9.8774928064585092E-3</c:v>
                </c:pt>
                <c:pt idx="405">
                  <c:v>-9.8360589822365715E-3</c:v>
                </c:pt>
                <c:pt idx="406">
                  <c:v>-9.8846697304428022E-3</c:v>
                </c:pt>
                <c:pt idx="407">
                  <c:v>-9.8683791045451399E-3</c:v>
                </c:pt>
                <c:pt idx="408">
                  <c:v>-9.8911714797684704E-3</c:v>
                </c:pt>
                <c:pt idx="409">
                  <c:v>-9.9118082885772518E-3</c:v>
                </c:pt>
                <c:pt idx="410">
                  <c:v>-9.8949387071807816E-3</c:v>
                </c:pt>
                <c:pt idx="411">
                  <c:v>-9.9152816264299875E-3</c:v>
                </c:pt>
                <c:pt idx="412">
                  <c:v>-9.9228948266583926E-3</c:v>
                </c:pt>
                <c:pt idx="413">
                  <c:v>-9.8943766707422724E-3</c:v>
                </c:pt>
                <c:pt idx="414">
                  <c:v>-9.92271265291092E-3</c:v>
                </c:pt>
                <c:pt idx="415">
                  <c:v>-9.9567240953994385E-3</c:v>
                </c:pt>
                <c:pt idx="416">
                  <c:v>-9.9596810954763262E-3</c:v>
                </c:pt>
                <c:pt idx="417">
                  <c:v>-9.9973811288431077E-3</c:v>
                </c:pt>
                <c:pt idx="418">
                  <c:v>-9.9921302411439886E-3</c:v>
                </c:pt>
                <c:pt idx="419">
                  <c:v>-9.9880278954976882E-3</c:v>
                </c:pt>
                <c:pt idx="420">
                  <c:v>-1.0005969264231101E-2</c:v>
                </c:pt>
                <c:pt idx="421">
                  <c:v>-1.0032123291562499E-2</c:v>
                </c:pt>
                <c:pt idx="422">
                  <c:v>-1.00328217654074E-2</c:v>
                </c:pt>
                <c:pt idx="423">
                  <c:v>-9.99845067714915E-3</c:v>
                </c:pt>
                <c:pt idx="424">
                  <c:v>-9.9819718870923207E-3</c:v>
                </c:pt>
                <c:pt idx="425">
                  <c:v>-1.0028930780991501E-2</c:v>
                </c:pt>
                <c:pt idx="426">
                  <c:v>-1.00567019149033E-2</c:v>
                </c:pt>
                <c:pt idx="427">
                  <c:v>-1.0095663586178798E-2</c:v>
                </c:pt>
                <c:pt idx="428">
                  <c:v>-1.0102491103560597E-2</c:v>
                </c:pt>
                <c:pt idx="429">
                  <c:v>-1.0040828522704499E-2</c:v>
                </c:pt>
                <c:pt idx="430">
                  <c:v>-1.01372422197347E-2</c:v>
                </c:pt>
                <c:pt idx="431">
                  <c:v>-1.0127504215269E-2</c:v>
                </c:pt>
                <c:pt idx="432">
                  <c:v>-1.0083347657250698E-2</c:v>
                </c:pt>
                <c:pt idx="433">
                  <c:v>-1.0138327565421101E-2</c:v>
                </c:pt>
                <c:pt idx="434">
                  <c:v>-1.01679784585664E-2</c:v>
                </c:pt>
                <c:pt idx="435">
                  <c:v>-1.01251349825745E-2</c:v>
                </c:pt>
                <c:pt idx="436">
                  <c:v>-1.02099579264451E-2</c:v>
                </c:pt>
                <c:pt idx="437">
                  <c:v>-1.0192167842436799E-2</c:v>
                </c:pt>
                <c:pt idx="438">
                  <c:v>-1.0222953583926499E-2</c:v>
                </c:pt>
                <c:pt idx="439">
                  <c:v>-1.0273387987500701E-2</c:v>
                </c:pt>
                <c:pt idx="440">
                  <c:v>-1.02257994650815E-2</c:v>
                </c:pt>
                <c:pt idx="441">
                  <c:v>-1.02140037502418E-2</c:v>
                </c:pt>
                <c:pt idx="442">
                  <c:v>-1.0343147296840001E-2</c:v>
                </c:pt>
                <c:pt idx="443">
                  <c:v>-1.02421333921109E-2</c:v>
                </c:pt>
                <c:pt idx="444">
                  <c:v>-1.0326684797885101E-2</c:v>
                </c:pt>
                <c:pt idx="445">
                  <c:v>-1.03433261504784E-2</c:v>
                </c:pt>
                <c:pt idx="446">
                  <c:v>-1.0357239683667399E-2</c:v>
                </c:pt>
                <c:pt idx="447">
                  <c:v>-1.0315420323844899E-2</c:v>
                </c:pt>
                <c:pt idx="448">
                  <c:v>-1.03749180537724E-2</c:v>
                </c:pt>
                <c:pt idx="449">
                  <c:v>-1.0381369677697204E-2</c:v>
                </c:pt>
                <c:pt idx="450">
                  <c:v>-1.0444947163026498E-2</c:v>
                </c:pt>
                <c:pt idx="451">
                  <c:v>-1.0460592122841299E-2</c:v>
                </c:pt>
                <c:pt idx="452">
                  <c:v>-1.04829945512258E-2</c:v>
                </c:pt>
                <c:pt idx="453">
                  <c:v>-1.04800322148179E-2</c:v>
                </c:pt>
                <c:pt idx="454">
                  <c:v>-1.0572314301798801E-2</c:v>
                </c:pt>
                <c:pt idx="455">
                  <c:v>-1.0466647223376702E-2</c:v>
                </c:pt>
                <c:pt idx="456">
                  <c:v>-1.04866065674976E-2</c:v>
                </c:pt>
                <c:pt idx="457">
                  <c:v>-1.06900579807076E-2</c:v>
                </c:pt>
                <c:pt idx="458">
                  <c:v>-1.06555002323666E-2</c:v>
                </c:pt>
                <c:pt idx="459">
                  <c:v>-1.05419322871859E-2</c:v>
                </c:pt>
                <c:pt idx="460">
                  <c:v>-1.06300707615818E-2</c:v>
                </c:pt>
                <c:pt idx="461">
                  <c:v>-1.0666331263209801E-2</c:v>
                </c:pt>
                <c:pt idx="462">
                  <c:v>-1.0670717084676097E-2</c:v>
                </c:pt>
                <c:pt idx="463">
                  <c:v>-1.0792147991168399E-2</c:v>
                </c:pt>
                <c:pt idx="464">
                  <c:v>-1.0779608404341404E-2</c:v>
                </c:pt>
                <c:pt idx="465">
                  <c:v>-1.0856126171495601E-2</c:v>
                </c:pt>
                <c:pt idx="466">
                  <c:v>-1.09160069810801E-2</c:v>
                </c:pt>
                <c:pt idx="467">
                  <c:v>-1.0959384911928098E-2</c:v>
                </c:pt>
                <c:pt idx="468">
                  <c:v>-1.10114708203378E-2</c:v>
                </c:pt>
                <c:pt idx="469">
                  <c:v>-1.10890058608161E-2</c:v>
                </c:pt>
                <c:pt idx="470">
                  <c:v>-1.10234679008651E-2</c:v>
                </c:pt>
                <c:pt idx="471">
                  <c:v>-1.10601430800332E-2</c:v>
                </c:pt>
                <c:pt idx="472">
                  <c:v>-1.1257113010167401E-2</c:v>
                </c:pt>
                <c:pt idx="473">
                  <c:v>-1.1287917346473201E-2</c:v>
                </c:pt>
                <c:pt idx="474">
                  <c:v>-1.1091124624058001E-2</c:v>
                </c:pt>
                <c:pt idx="475">
                  <c:v>-1.12136940911866E-2</c:v>
                </c:pt>
                <c:pt idx="476">
                  <c:v>-1.1215973003716899E-2</c:v>
                </c:pt>
                <c:pt idx="477">
                  <c:v>-1.1551556959434798E-2</c:v>
                </c:pt>
                <c:pt idx="478">
                  <c:v>-1.15450734256756E-2</c:v>
                </c:pt>
                <c:pt idx="479">
                  <c:v>-1.1558251473149398E-2</c:v>
                </c:pt>
                <c:pt idx="480">
                  <c:v>-1.1361124665512499E-2</c:v>
                </c:pt>
                <c:pt idx="481">
                  <c:v>-1.1460984348536499E-2</c:v>
                </c:pt>
                <c:pt idx="482">
                  <c:v>-1.1733676818838801E-2</c:v>
                </c:pt>
                <c:pt idx="483">
                  <c:v>-1.1609198039114E-2</c:v>
                </c:pt>
                <c:pt idx="484">
                  <c:v>-1.1830824808404201E-2</c:v>
                </c:pt>
                <c:pt idx="485">
                  <c:v>-1.1839197406397802E-2</c:v>
                </c:pt>
                <c:pt idx="486">
                  <c:v>-1.18319892055254E-2</c:v>
                </c:pt>
                <c:pt idx="487">
                  <c:v>-1.19575421879936E-2</c:v>
                </c:pt>
                <c:pt idx="488">
                  <c:v>-1.2038663154797799E-2</c:v>
                </c:pt>
                <c:pt idx="489">
                  <c:v>-1.20513831949673E-2</c:v>
                </c:pt>
                <c:pt idx="490">
                  <c:v>-1.21284814383321E-2</c:v>
                </c:pt>
                <c:pt idx="491">
                  <c:v>-1.2301227708827502E-2</c:v>
                </c:pt>
                <c:pt idx="492">
                  <c:v>-1.23729209463756E-2</c:v>
                </c:pt>
                <c:pt idx="493">
                  <c:v>-1.2465459464602599E-2</c:v>
                </c:pt>
                <c:pt idx="494">
                  <c:v>-1.2377133723272E-2</c:v>
                </c:pt>
                <c:pt idx="495">
                  <c:v>-1.267392147884E-2</c:v>
                </c:pt>
                <c:pt idx="496">
                  <c:v>-1.2671564275400202E-2</c:v>
                </c:pt>
                <c:pt idx="497">
                  <c:v>-1.2817967649789E-2</c:v>
                </c:pt>
                <c:pt idx="498">
                  <c:v>-1.2914099397951297E-2</c:v>
                </c:pt>
                <c:pt idx="499">
                  <c:v>-1.3024828224420602E-2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B56A-4A25-B6E9-47167997A94B}"/>
            </c:ext>
          </c:extLst>
        </c:ser>
        <c:ser>
          <c:idx val="1"/>
          <c:order val="1"/>
          <c:tx>
            <c:v>CH1 (IN)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'GAIN vs FREQ'!$A$5:$A$504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FREQ'!$B$5:$B$504</c:f>
              <c:numCache>
                <c:formatCode>General</c:formatCode>
                <c:ptCount val="500"/>
                <c:pt idx="0">
                  <c:v>-9.6261677258397942E-3</c:v>
                </c:pt>
                <c:pt idx="1">
                  <c:v>-9.5792261329884169E-3</c:v>
                </c:pt>
                <c:pt idx="2">
                  <c:v>-9.5394139672166905E-3</c:v>
                </c:pt>
                <c:pt idx="3">
                  <c:v>-9.4964272421693922E-3</c:v>
                </c:pt>
                <c:pt idx="4">
                  <c:v>-9.4375935265487276E-3</c:v>
                </c:pt>
                <c:pt idx="5">
                  <c:v>-9.3702339686629992E-3</c:v>
                </c:pt>
                <c:pt idx="6">
                  <c:v>-9.3014282725395678E-3</c:v>
                </c:pt>
                <c:pt idx="7">
                  <c:v>-9.2710109986189598E-3</c:v>
                </c:pt>
                <c:pt idx="8">
                  <c:v>-9.2097190765517995E-3</c:v>
                </c:pt>
                <c:pt idx="9">
                  <c:v>-9.1802175457870484E-3</c:v>
                </c:pt>
                <c:pt idx="10">
                  <c:v>-9.1534534017848196E-3</c:v>
                </c:pt>
                <c:pt idx="11">
                  <c:v>-9.1153131524246474E-3</c:v>
                </c:pt>
                <c:pt idx="12">
                  <c:v>-9.1186868114419405E-3</c:v>
                </c:pt>
                <c:pt idx="13">
                  <c:v>-9.1299469043554706E-3</c:v>
                </c:pt>
                <c:pt idx="14">
                  <c:v>-9.1190870878744678E-3</c:v>
                </c:pt>
                <c:pt idx="15">
                  <c:v>-9.1516382402377795E-3</c:v>
                </c:pt>
                <c:pt idx="16">
                  <c:v>-9.2227563101621099E-3</c:v>
                </c:pt>
                <c:pt idx="17">
                  <c:v>-9.2907889475067791E-3</c:v>
                </c:pt>
                <c:pt idx="18">
                  <c:v>-9.3217417356113424E-3</c:v>
                </c:pt>
                <c:pt idx="19">
                  <c:v>-9.379202634670139E-3</c:v>
                </c:pt>
                <c:pt idx="20">
                  <c:v>-9.483683318095907E-3</c:v>
                </c:pt>
                <c:pt idx="21">
                  <c:v>-9.5328738766904172E-3</c:v>
                </c:pt>
                <c:pt idx="22">
                  <c:v>-9.6264238636685189E-3</c:v>
                </c:pt>
                <c:pt idx="23">
                  <c:v>-9.7116738845094072E-3</c:v>
                </c:pt>
                <c:pt idx="24">
                  <c:v>-9.8131391443151382E-3</c:v>
                </c:pt>
                <c:pt idx="25">
                  <c:v>-9.9089118779027274E-3</c:v>
                </c:pt>
                <c:pt idx="26">
                  <c:v>-9.9958151038160789E-3</c:v>
                </c:pt>
                <c:pt idx="27">
                  <c:v>-1.00954473768484E-2</c:v>
                </c:pt>
                <c:pt idx="28">
                  <c:v>-1.01915736821335E-2</c:v>
                </c:pt>
                <c:pt idx="29">
                  <c:v>-1.0289852889754401E-2</c:v>
                </c:pt>
                <c:pt idx="30">
                  <c:v>-1.03651533960838E-2</c:v>
                </c:pt>
                <c:pt idx="31">
                  <c:v>-1.0494583920978899E-2</c:v>
                </c:pt>
                <c:pt idx="32">
                  <c:v>-1.0560492771488801E-2</c:v>
                </c:pt>
                <c:pt idx="33">
                  <c:v>-1.0658737787588302E-2</c:v>
                </c:pt>
                <c:pt idx="34">
                  <c:v>-1.0705879506769198E-2</c:v>
                </c:pt>
                <c:pt idx="35">
                  <c:v>-1.0775274132366598E-2</c:v>
                </c:pt>
                <c:pt idx="36">
                  <c:v>-1.0832401136162999E-2</c:v>
                </c:pt>
                <c:pt idx="37">
                  <c:v>-1.0895265760241199E-2</c:v>
                </c:pt>
                <c:pt idx="38">
                  <c:v>-1.09508728215465E-2</c:v>
                </c:pt>
                <c:pt idx="39">
                  <c:v>-1.1012063314588901E-2</c:v>
                </c:pt>
                <c:pt idx="40">
                  <c:v>-1.10415038048276E-2</c:v>
                </c:pt>
                <c:pt idx="41">
                  <c:v>-1.108150626209E-2</c:v>
                </c:pt>
                <c:pt idx="42">
                  <c:v>-1.11155576358122E-2</c:v>
                </c:pt>
                <c:pt idx="43">
                  <c:v>-1.1150162587777101E-2</c:v>
                </c:pt>
                <c:pt idx="44">
                  <c:v>-1.1161153742964801E-2</c:v>
                </c:pt>
                <c:pt idx="45">
                  <c:v>-1.11643682806016E-2</c:v>
                </c:pt>
                <c:pt idx="46">
                  <c:v>-1.1187010171623E-2</c:v>
                </c:pt>
                <c:pt idx="47">
                  <c:v>-1.11897812789249E-2</c:v>
                </c:pt>
                <c:pt idx="48">
                  <c:v>-1.11590905823817E-2</c:v>
                </c:pt>
                <c:pt idx="49">
                  <c:v>-1.1183321853009701E-2</c:v>
                </c:pt>
                <c:pt idx="50">
                  <c:v>-1.1148467167236999E-2</c:v>
                </c:pt>
                <c:pt idx="51">
                  <c:v>-1.1153555288311898E-2</c:v>
                </c:pt>
                <c:pt idx="52">
                  <c:v>-1.1108597790678401E-2</c:v>
                </c:pt>
                <c:pt idx="53">
                  <c:v>-1.1084084738027402E-2</c:v>
                </c:pt>
                <c:pt idx="54">
                  <c:v>-1.1097863907642501E-2</c:v>
                </c:pt>
                <c:pt idx="55">
                  <c:v>-1.10207076990037E-2</c:v>
                </c:pt>
                <c:pt idx="56">
                  <c:v>-1.0990046198754801E-2</c:v>
                </c:pt>
                <c:pt idx="57">
                  <c:v>-1.0961150024826701E-2</c:v>
                </c:pt>
                <c:pt idx="58">
                  <c:v>-1.09165724107289E-2</c:v>
                </c:pt>
                <c:pt idx="59">
                  <c:v>-1.08620201671386E-2</c:v>
                </c:pt>
                <c:pt idx="60">
                  <c:v>-1.0807233414028001E-2</c:v>
                </c:pt>
                <c:pt idx="61">
                  <c:v>-1.0764342919415299E-2</c:v>
                </c:pt>
                <c:pt idx="62">
                  <c:v>-1.07126467139061E-2</c:v>
                </c:pt>
                <c:pt idx="63">
                  <c:v>-1.06936100296962E-2</c:v>
                </c:pt>
                <c:pt idx="64">
                  <c:v>-1.0658507641462901E-2</c:v>
                </c:pt>
                <c:pt idx="65">
                  <c:v>-1.0601133241634E-2</c:v>
                </c:pt>
                <c:pt idx="66">
                  <c:v>-1.0557743716979699E-2</c:v>
                </c:pt>
                <c:pt idx="67">
                  <c:v>-1.05156754872111E-2</c:v>
                </c:pt>
                <c:pt idx="68">
                  <c:v>-1.04876140594037E-2</c:v>
                </c:pt>
                <c:pt idx="69">
                  <c:v>-1.0439860528695E-2</c:v>
                </c:pt>
                <c:pt idx="70">
                  <c:v>-1.03859600661104E-2</c:v>
                </c:pt>
                <c:pt idx="71">
                  <c:v>-1.0358716884940403E-2</c:v>
                </c:pt>
                <c:pt idx="72">
                  <c:v>-1.0314783912589201E-2</c:v>
                </c:pt>
                <c:pt idx="73">
                  <c:v>-1.0287423811116202E-2</c:v>
                </c:pt>
                <c:pt idx="74">
                  <c:v>-1.0263879804799102E-2</c:v>
                </c:pt>
                <c:pt idx="75">
                  <c:v>-1.0209692754295598E-2</c:v>
                </c:pt>
                <c:pt idx="76">
                  <c:v>-1.0189907424136301E-2</c:v>
                </c:pt>
                <c:pt idx="77">
                  <c:v>-1.0163461173032099E-2</c:v>
                </c:pt>
                <c:pt idx="78">
                  <c:v>-1.01336434305319E-2</c:v>
                </c:pt>
                <c:pt idx="79">
                  <c:v>-1.0095500600821497E-2</c:v>
                </c:pt>
                <c:pt idx="80">
                  <c:v>-1.0070293147847799E-2</c:v>
                </c:pt>
                <c:pt idx="81">
                  <c:v>-1.0056407684333199E-2</c:v>
                </c:pt>
                <c:pt idx="82">
                  <c:v>-1.0036771115895696E-2</c:v>
                </c:pt>
                <c:pt idx="83">
                  <c:v>-1.0014217349290202E-2</c:v>
                </c:pt>
                <c:pt idx="84">
                  <c:v>-9.9975855701637095E-3</c:v>
                </c:pt>
                <c:pt idx="85">
                  <c:v>-9.9694444325240609E-3</c:v>
                </c:pt>
                <c:pt idx="86">
                  <c:v>-9.9613163664306476E-3</c:v>
                </c:pt>
                <c:pt idx="87">
                  <c:v>-9.9553745081413115E-3</c:v>
                </c:pt>
                <c:pt idx="88">
                  <c:v>-9.9419510507097429E-3</c:v>
                </c:pt>
                <c:pt idx="89">
                  <c:v>-9.9471376618902596E-3</c:v>
                </c:pt>
                <c:pt idx="90">
                  <c:v>-9.9152570776571396E-3</c:v>
                </c:pt>
                <c:pt idx="91">
                  <c:v>-9.921796236931079E-3</c:v>
                </c:pt>
                <c:pt idx="92">
                  <c:v>-9.9003043568379814E-3</c:v>
                </c:pt>
                <c:pt idx="93">
                  <c:v>-9.90336233484242E-3</c:v>
                </c:pt>
                <c:pt idx="94">
                  <c:v>-9.8950614330053609E-3</c:v>
                </c:pt>
                <c:pt idx="95">
                  <c:v>-9.9351184160866093E-3</c:v>
                </c:pt>
                <c:pt idx="96">
                  <c:v>-9.921976537202528E-3</c:v>
                </c:pt>
                <c:pt idx="97">
                  <c:v>-9.9234822789342498E-3</c:v>
                </c:pt>
                <c:pt idx="98">
                  <c:v>-9.9312946894005612E-3</c:v>
                </c:pt>
                <c:pt idx="99">
                  <c:v>-9.9173819924069685E-3</c:v>
                </c:pt>
                <c:pt idx="100">
                  <c:v>-9.9091600031285133E-3</c:v>
                </c:pt>
                <c:pt idx="101">
                  <c:v>-9.9385040555246221E-3</c:v>
                </c:pt>
                <c:pt idx="102">
                  <c:v>-9.9256217271082095E-3</c:v>
                </c:pt>
                <c:pt idx="103">
                  <c:v>-9.9489679824525702E-3</c:v>
                </c:pt>
                <c:pt idx="104">
                  <c:v>-9.9321290043640816E-3</c:v>
                </c:pt>
                <c:pt idx="105">
                  <c:v>-9.9553703872266221E-3</c:v>
                </c:pt>
                <c:pt idx="106">
                  <c:v>-1.0000724889264899E-2</c:v>
                </c:pt>
                <c:pt idx="107">
                  <c:v>-9.9735793888784969E-3</c:v>
                </c:pt>
                <c:pt idx="108">
                  <c:v>-9.9906025120187827E-3</c:v>
                </c:pt>
                <c:pt idx="109">
                  <c:v>-9.9946432579860797E-3</c:v>
                </c:pt>
                <c:pt idx="110">
                  <c:v>-1.00052465201099E-2</c:v>
                </c:pt>
                <c:pt idx="111">
                  <c:v>-9.9984138583047184E-3</c:v>
                </c:pt>
                <c:pt idx="112">
                  <c:v>-1.0010663610649799E-2</c:v>
                </c:pt>
                <c:pt idx="113">
                  <c:v>-1.00257193502644E-2</c:v>
                </c:pt>
                <c:pt idx="114">
                  <c:v>-1.0059635242218298E-2</c:v>
                </c:pt>
                <c:pt idx="115">
                  <c:v>-1.0057892214925399E-2</c:v>
                </c:pt>
                <c:pt idx="116">
                  <c:v>-1.0062995965766E-2</c:v>
                </c:pt>
                <c:pt idx="117">
                  <c:v>-1.00918042853879E-2</c:v>
                </c:pt>
                <c:pt idx="118">
                  <c:v>-1.0095881610995998E-2</c:v>
                </c:pt>
                <c:pt idx="119">
                  <c:v>-1.0115860984467501E-2</c:v>
                </c:pt>
                <c:pt idx="120">
                  <c:v>-1.0137453563388001E-2</c:v>
                </c:pt>
                <c:pt idx="121">
                  <c:v>-1.0149653182466601E-2</c:v>
                </c:pt>
                <c:pt idx="122">
                  <c:v>-1.01618764721706E-2</c:v>
                </c:pt>
                <c:pt idx="123">
                  <c:v>-1.0177511257061901E-2</c:v>
                </c:pt>
                <c:pt idx="124">
                  <c:v>-1.0193565971584002E-2</c:v>
                </c:pt>
                <c:pt idx="125">
                  <c:v>-1.0179578383125096E-2</c:v>
                </c:pt>
                <c:pt idx="126">
                  <c:v>-1.02266425672043E-2</c:v>
                </c:pt>
                <c:pt idx="127">
                  <c:v>-1.0218747508157202E-2</c:v>
                </c:pt>
                <c:pt idx="128">
                  <c:v>-1.0243630783367298E-2</c:v>
                </c:pt>
                <c:pt idx="129">
                  <c:v>-1.02621977058595E-2</c:v>
                </c:pt>
                <c:pt idx="130">
                  <c:v>-1.0284910001290301E-2</c:v>
                </c:pt>
                <c:pt idx="131">
                  <c:v>-1.0302839065243598E-2</c:v>
                </c:pt>
                <c:pt idx="132">
                  <c:v>-1.0317643871656998E-2</c:v>
                </c:pt>
                <c:pt idx="133">
                  <c:v>-1.0323967958506401E-2</c:v>
                </c:pt>
                <c:pt idx="134">
                  <c:v>-1.0358347088445401E-2</c:v>
                </c:pt>
                <c:pt idx="135">
                  <c:v>-1.0376329683627001E-2</c:v>
                </c:pt>
                <c:pt idx="136">
                  <c:v>-1.03612276905376E-2</c:v>
                </c:pt>
                <c:pt idx="137">
                  <c:v>-1.0376579531116099E-2</c:v>
                </c:pt>
                <c:pt idx="138">
                  <c:v>-1.0386786701451101E-2</c:v>
                </c:pt>
                <c:pt idx="139">
                  <c:v>-1.03921302844027E-2</c:v>
                </c:pt>
                <c:pt idx="140">
                  <c:v>-1.0400363281718202E-2</c:v>
                </c:pt>
                <c:pt idx="141">
                  <c:v>-1.0401573495290202E-2</c:v>
                </c:pt>
                <c:pt idx="142">
                  <c:v>-1.0437994743563101E-2</c:v>
                </c:pt>
                <c:pt idx="143">
                  <c:v>-1.0433236046286501E-2</c:v>
                </c:pt>
                <c:pt idx="144">
                  <c:v>-1.0453333400581698E-2</c:v>
                </c:pt>
                <c:pt idx="145">
                  <c:v>-1.0462730096274202E-2</c:v>
                </c:pt>
                <c:pt idx="146">
                  <c:v>-1.0480192169798598E-2</c:v>
                </c:pt>
                <c:pt idx="147">
                  <c:v>-1.0461757006346399E-2</c:v>
                </c:pt>
                <c:pt idx="148">
                  <c:v>-1.0494364982762801E-2</c:v>
                </c:pt>
                <c:pt idx="149">
                  <c:v>-1.05017174698252E-2</c:v>
                </c:pt>
                <c:pt idx="150">
                  <c:v>-1.05400973545296E-2</c:v>
                </c:pt>
                <c:pt idx="151">
                  <c:v>-1.0528424573824201E-2</c:v>
                </c:pt>
                <c:pt idx="152">
                  <c:v>-1.0552867411129098E-2</c:v>
                </c:pt>
                <c:pt idx="153">
                  <c:v>-1.0550115917904E-2</c:v>
                </c:pt>
                <c:pt idx="154">
                  <c:v>-1.0567993187308899E-2</c:v>
                </c:pt>
                <c:pt idx="155">
                  <c:v>-1.0581309462576601E-2</c:v>
                </c:pt>
                <c:pt idx="156">
                  <c:v>-1.0574166572387602E-2</c:v>
                </c:pt>
                <c:pt idx="157">
                  <c:v>-1.05882221220105E-2</c:v>
                </c:pt>
                <c:pt idx="158">
                  <c:v>-1.0629055259865301E-2</c:v>
                </c:pt>
                <c:pt idx="159">
                  <c:v>-1.0620478281438099E-2</c:v>
                </c:pt>
                <c:pt idx="160">
                  <c:v>-1.0627877895490204E-2</c:v>
                </c:pt>
                <c:pt idx="161">
                  <c:v>-1.06235431750456E-2</c:v>
                </c:pt>
                <c:pt idx="162">
                  <c:v>-1.0627021745761802E-2</c:v>
                </c:pt>
                <c:pt idx="163">
                  <c:v>-1.0655742117684698E-2</c:v>
                </c:pt>
                <c:pt idx="164">
                  <c:v>-1.0661684285157602E-2</c:v>
                </c:pt>
                <c:pt idx="165">
                  <c:v>-1.0675920480672898E-2</c:v>
                </c:pt>
                <c:pt idx="166">
                  <c:v>-1.0672619449340802E-2</c:v>
                </c:pt>
                <c:pt idx="167">
                  <c:v>-1.0695877323900496E-2</c:v>
                </c:pt>
                <c:pt idx="168">
                  <c:v>-1.0706962523415599E-2</c:v>
                </c:pt>
                <c:pt idx="169">
                  <c:v>-1.0692450960254498E-2</c:v>
                </c:pt>
                <c:pt idx="170">
                  <c:v>-1.0706444199056499E-2</c:v>
                </c:pt>
                <c:pt idx="171">
                  <c:v>-1.07146339038105E-2</c:v>
                </c:pt>
                <c:pt idx="172">
                  <c:v>-1.0702409894210301E-2</c:v>
                </c:pt>
                <c:pt idx="173">
                  <c:v>-1.06870814364338E-2</c:v>
                </c:pt>
                <c:pt idx="174">
                  <c:v>-1.0729779223739001E-2</c:v>
                </c:pt>
                <c:pt idx="175">
                  <c:v>-1.07337956027014E-2</c:v>
                </c:pt>
                <c:pt idx="176">
                  <c:v>-1.07522593287904E-2</c:v>
                </c:pt>
                <c:pt idx="177">
                  <c:v>-1.0722225803461801E-2</c:v>
                </c:pt>
                <c:pt idx="178">
                  <c:v>-1.0748954459345601E-2</c:v>
                </c:pt>
                <c:pt idx="179">
                  <c:v>-1.0758780172966099E-2</c:v>
                </c:pt>
                <c:pt idx="180">
                  <c:v>-1.0748706510652002E-2</c:v>
                </c:pt>
                <c:pt idx="181">
                  <c:v>-1.0751536975180999E-2</c:v>
                </c:pt>
                <c:pt idx="182">
                  <c:v>-1.07611865089038E-2</c:v>
                </c:pt>
                <c:pt idx="183">
                  <c:v>-1.07644476135634E-2</c:v>
                </c:pt>
                <c:pt idx="184">
                  <c:v>-1.07659526161984E-2</c:v>
                </c:pt>
                <c:pt idx="185">
                  <c:v>-1.07828581272641E-2</c:v>
                </c:pt>
                <c:pt idx="186">
                  <c:v>-1.0760667102440401E-2</c:v>
                </c:pt>
                <c:pt idx="187">
                  <c:v>-1.07650217307508E-2</c:v>
                </c:pt>
                <c:pt idx="188">
                  <c:v>-1.0796871837082498E-2</c:v>
                </c:pt>
                <c:pt idx="189">
                  <c:v>-1.0776461267796999E-2</c:v>
                </c:pt>
                <c:pt idx="190">
                  <c:v>-1.0791512663377398E-2</c:v>
                </c:pt>
                <c:pt idx="191">
                  <c:v>-1.0781306911144499E-2</c:v>
                </c:pt>
                <c:pt idx="192">
                  <c:v>-1.07945261799028E-2</c:v>
                </c:pt>
                <c:pt idx="193">
                  <c:v>-1.08010979961294E-2</c:v>
                </c:pt>
                <c:pt idx="194">
                  <c:v>-1.0813653271161102E-2</c:v>
                </c:pt>
                <c:pt idx="195">
                  <c:v>-1.0788191719242999E-2</c:v>
                </c:pt>
                <c:pt idx="196">
                  <c:v>-1.0811155177038899E-2</c:v>
                </c:pt>
                <c:pt idx="197">
                  <c:v>-1.0799456142680601E-2</c:v>
                </c:pt>
                <c:pt idx="198">
                  <c:v>-1.0813873461456099E-2</c:v>
                </c:pt>
                <c:pt idx="199">
                  <c:v>-1.08081786683725E-2</c:v>
                </c:pt>
                <c:pt idx="200">
                  <c:v>-1.0808907705317901E-2</c:v>
                </c:pt>
                <c:pt idx="201">
                  <c:v>-1.0809714297066701E-2</c:v>
                </c:pt>
                <c:pt idx="202">
                  <c:v>-1.0836382543050803E-2</c:v>
                </c:pt>
                <c:pt idx="203">
                  <c:v>-1.0824903807251098E-2</c:v>
                </c:pt>
                <c:pt idx="204">
                  <c:v>-1.08157912399606E-2</c:v>
                </c:pt>
                <c:pt idx="205">
                  <c:v>-1.0822897221026402E-2</c:v>
                </c:pt>
                <c:pt idx="206">
                  <c:v>-1.0822905754873102E-2</c:v>
                </c:pt>
                <c:pt idx="207">
                  <c:v>-1.0832781222285702E-2</c:v>
                </c:pt>
                <c:pt idx="208">
                  <c:v>-1.0834426462012499E-2</c:v>
                </c:pt>
                <c:pt idx="209">
                  <c:v>-1.0825751044200201E-2</c:v>
                </c:pt>
                <c:pt idx="210">
                  <c:v>-1.0811516826200298E-2</c:v>
                </c:pt>
                <c:pt idx="211">
                  <c:v>-1.0829951596218398E-2</c:v>
                </c:pt>
                <c:pt idx="212">
                  <c:v>-1.08375222465568E-2</c:v>
                </c:pt>
                <c:pt idx="213">
                  <c:v>-1.0828915193422996E-2</c:v>
                </c:pt>
                <c:pt idx="214">
                  <c:v>-1.0811028830072601E-2</c:v>
                </c:pt>
                <c:pt idx="215">
                  <c:v>-1.0804157312391699E-2</c:v>
                </c:pt>
                <c:pt idx="216">
                  <c:v>-1.08135353344111E-2</c:v>
                </c:pt>
                <c:pt idx="217">
                  <c:v>-1.0809443962070899E-2</c:v>
                </c:pt>
                <c:pt idx="218">
                  <c:v>-1.08212288627915E-2</c:v>
                </c:pt>
                <c:pt idx="219">
                  <c:v>-1.0806658315847102E-2</c:v>
                </c:pt>
                <c:pt idx="220">
                  <c:v>-1.0811733851557299E-2</c:v>
                </c:pt>
                <c:pt idx="221">
                  <c:v>-1.0814699357115201E-2</c:v>
                </c:pt>
                <c:pt idx="222">
                  <c:v>-1.08170990052612E-2</c:v>
                </c:pt>
                <c:pt idx="223">
                  <c:v>-1.08311324868856E-2</c:v>
                </c:pt>
                <c:pt idx="224">
                  <c:v>-1.0816271591120001E-2</c:v>
                </c:pt>
                <c:pt idx="225">
                  <c:v>-1.08023648518455E-2</c:v>
                </c:pt>
                <c:pt idx="226">
                  <c:v>-1.0799857341073802E-2</c:v>
                </c:pt>
                <c:pt idx="227">
                  <c:v>-1.0799819868483902E-2</c:v>
                </c:pt>
                <c:pt idx="228">
                  <c:v>-1.07889152369815E-2</c:v>
                </c:pt>
                <c:pt idx="229">
                  <c:v>-1.0803603808464599E-2</c:v>
                </c:pt>
                <c:pt idx="230">
                  <c:v>-1.0803624290348498E-2</c:v>
                </c:pt>
                <c:pt idx="231">
                  <c:v>-1.0808283641200303E-2</c:v>
                </c:pt>
                <c:pt idx="232">
                  <c:v>-1.08011347584105E-2</c:v>
                </c:pt>
                <c:pt idx="233">
                  <c:v>-1.0810241539532299E-2</c:v>
                </c:pt>
                <c:pt idx="234">
                  <c:v>-1.08034393472877E-2</c:v>
                </c:pt>
                <c:pt idx="235">
                  <c:v>-1.0795422947631498E-2</c:v>
                </c:pt>
                <c:pt idx="236">
                  <c:v>-1.0793448710289297E-2</c:v>
                </c:pt>
                <c:pt idx="237">
                  <c:v>-1.0802969536739799E-2</c:v>
                </c:pt>
                <c:pt idx="238">
                  <c:v>-1.0787550450340301E-2</c:v>
                </c:pt>
                <c:pt idx="239">
                  <c:v>-1.07844519715024E-2</c:v>
                </c:pt>
                <c:pt idx="240">
                  <c:v>-1.0799546528972099E-2</c:v>
                </c:pt>
                <c:pt idx="241">
                  <c:v>-1.0814750233479E-2</c:v>
                </c:pt>
                <c:pt idx="242">
                  <c:v>-1.0799313346338799E-2</c:v>
                </c:pt>
                <c:pt idx="243">
                  <c:v>-1.0800423303161799E-2</c:v>
                </c:pt>
                <c:pt idx="244">
                  <c:v>-1.07969288369384E-2</c:v>
                </c:pt>
                <c:pt idx="245">
                  <c:v>-1.08046066612092E-2</c:v>
                </c:pt>
                <c:pt idx="246">
                  <c:v>-1.0783717177594101E-2</c:v>
                </c:pt>
                <c:pt idx="247">
                  <c:v>-1.07890268177777E-2</c:v>
                </c:pt>
                <c:pt idx="248">
                  <c:v>-1.0790761154682001E-2</c:v>
                </c:pt>
                <c:pt idx="249">
                  <c:v>-1.0793542844950099E-2</c:v>
                </c:pt>
                <c:pt idx="250">
                  <c:v>-1.07824337871162E-2</c:v>
                </c:pt>
                <c:pt idx="251">
                  <c:v>-1.0780969552034799E-2</c:v>
                </c:pt>
                <c:pt idx="252">
                  <c:v>-1.0770357985058101E-2</c:v>
                </c:pt>
                <c:pt idx="253">
                  <c:v>-1.0768718980363098E-2</c:v>
                </c:pt>
                <c:pt idx="254">
                  <c:v>-1.07697148440255E-2</c:v>
                </c:pt>
                <c:pt idx="255">
                  <c:v>-1.07955941242823E-2</c:v>
                </c:pt>
                <c:pt idx="256">
                  <c:v>-1.0766485236393199E-2</c:v>
                </c:pt>
                <c:pt idx="257">
                  <c:v>-1.0794532466454499E-2</c:v>
                </c:pt>
                <c:pt idx="258">
                  <c:v>-1.0755858362996902E-2</c:v>
                </c:pt>
                <c:pt idx="259">
                  <c:v>-1.0762563018782201E-2</c:v>
                </c:pt>
                <c:pt idx="260">
                  <c:v>-1.0768675492511899E-2</c:v>
                </c:pt>
                <c:pt idx="261">
                  <c:v>-1.07676263902916E-2</c:v>
                </c:pt>
                <c:pt idx="262">
                  <c:v>-1.0765650373041301E-2</c:v>
                </c:pt>
                <c:pt idx="263">
                  <c:v>-1.0750871332220099E-2</c:v>
                </c:pt>
                <c:pt idx="264">
                  <c:v>-1.0734595685883698E-2</c:v>
                </c:pt>
                <c:pt idx="265">
                  <c:v>-1.07439270751472E-2</c:v>
                </c:pt>
                <c:pt idx="266">
                  <c:v>-1.0761153935556702E-2</c:v>
                </c:pt>
                <c:pt idx="267">
                  <c:v>-1.07176349906063E-2</c:v>
                </c:pt>
                <c:pt idx="268">
                  <c:v>-1.0735160730345101E-2</c:v>
                </c:pt>
                <c:pt idx="269">
                  <c:v>-1.07428672507457E-2</c:v>
                </c:pt>
                <c:pt idx="270">
                  <c:v>-1.07408129631472E-2</c:v>
                </c:pt>
                <c:pt idx="271">
                  <c:v>-1.0717789252093501E-2</c:v>
                </c:pt>
                <c:pt idx="272">
                  <c:v>-1.0717443044021399E-2</c:v>
                </c:pt>
                <c:pt idx="273">
                  <c:v>-1.0718541813822599E-2</c:v>
                </c:pt>
                <c:pt idx="274">
                  <c:v>-1.0748112933119301E-2</c:v>
                </c:pt>
                <c:pt idx="275">
                  <c:v>-1.0726495822746899E-2</c:v>
                </c:pt>
                <c:pt idx="276">
                  <c:v>-1.0718360195022899E-2</c:v>
                </c:pt>
                <c:pt idx="277">
                  <c:v>-1.07270344130644E-2</c:v>
                </c:pt>
                <c:pt idx="278">
                  <c:v>-1.0711592385274299E-2</c:v>
                </c:pt>
                <c:pt idx="279">
                  <c:v>-1.0744509786754598E-2</c:v>
                </c:pt>
                <c:pt idx="280">
                  <c:v>-1.0722080940990399E-2</c:v>
                </c:pt>
                <c:pt idx="281">
                  <c:v>-1.07378228834356E-2</c:v>
                </c:pt>
                <c:pt idx="282">
                  <c:v>-1.0728893053046E-2</c:v>
                </c:pt>
                <c:pt idx="283">
                  <c:v>-1.0712967654388001E-2</c:v>
                </c:pt>
                <c:pt idx="284">
                  <c:v>-1.07099104511482E-2</c:v>
                </c:pt>
                <c:pt idx="285">
                  <c:v>-1.0706840259956898E-2</c:v>
                </c:pt>
                <c:pt idx="286">
                  <c:v>-1.0700747475512799E-2</c:v>
                </c:pt>
                <c:pt idx="287">
                  <c:v>-1.0694355145240499E-2</c:v>
                </c:pt>
                <c:pt idx="288">
                  <c:v>-1.07054893555142E-2</c:v>
                </c:pt>
                <c:pt idx="289">
                  <c:v>-1.0691317464836201E-2</c:v>
                </c:pt>
                <c:pt idx="290">
                  <c:v>-1.0659485658012202E-2</c:v>
                </c:pt>
                <c:pt idx="291">
                  <c:v>-1.0693119160128002E-2</c:v>
                </c:pt>
                <c:pt idx="292">
                  <c:v>-1.06869459233038E-2</c:v>
                </c:pt>
                <c:pt idx="293">
                  <c:v>-1.0685805941413901E-2</c:v>
                </c:pt>
                <c:pt idx="294">
                  <c:v>-1.06875065096123E-2</c:v>
                </c:pt>
                <c:pt idx="295">
                  <c:v>-1.06890547362389E-2</c:v>
                </c:pt>
                <c:pt idx="296">
                  <c:v>-1.0677583300139203E-2</c:v>
                </c:pt>
                <c:pt idx="297">
                  <c:v>-1.0699015663495697E-2</c:v>
                </c:pt>
                <c:pt idx="298">
                  <c:v>-1.0673272247283401E-2</c:v>
                </c:pt>
                <c:pt idx="299">
                  <c:v>-1.06556241254793E-2</c:v>
                </c:pt>
                <c:pt idx="300">
                  <c:v>-1.0683726713497502E-2</c:v>
                </c:pt>
                <c:pt idx="301">
                  <c:v>-1.0678590985912999E-2</c:v>
                </c:pt>
                <c:pt idx="302">
                  <c:v>-1.0661970678857402E-2</c:v>
                </c:pt>
                <c:pt idx="303">
                  <c:v>-1.0666294959444702E-2</c:v>
                </c:pt>
                <c:pt idx="304">
                  <c:v>-1.0686865052232399E-2</c:v>
                </c:pt>
                <c:pt idx="305">
                  <c:v>-1.0679163729565601E-2</c:v>
                </c:pt>
                <c:pt idx="306">
                  <c:v>-1.0715905594356199E-2</c:v>
                </c:pt>
                <c:pt idx="307">
                  <c:v>-1.06869390913334E-2</c:v>
                </c:pt>
                <c:pt idx="308">
                  <c:v>-1.0691356850622702E-2</c:v>
                </c:pt>
                <c:pt idx="309">
                  <c:v>-1.06861865780171E-2</c:v>
                </c:pt>
                <c:pt idx="310">
                  <c:v>-1.0688243635529901E-2</c:v>
                </c:pt>
                <c:pt idx="311">
                  <c:v>-1.0682706538648499E-2</c:v>
                </c:pt>
                <c:pt idx="312">
                  <c:v>-1.0694605437937399E-2</c:v>
                </c:pt>
                <c:pt idx="313">
                  <c:v>-1.0677110015300202E-2</c:v>
                </c:pt>
                <c:pt idx="314">
                  <c:v>-1.0712238241845799E-2</c:v>
                </c:pt>
                <c:pt idx="315">
                  <c:v>-1.0661581595205298E-2</c:v>
                </c:pt>
                <c:pt idx="316">
                  <c:v>-1.0677463794769002E-2</c:v>
                </c:pt>
                <c:pt idx="317">
                  <c:v>-1.06822794117975E-2</c:v>
                </c:pt>
                <c:pt idx="318">
                  <c:v>-1.0660846525770399E-2</c:v>
                </c:pt>
                <c:pt idx="319">
                  <c:v>-1.0661531314694897E-2</c:v>
                </c:pt>
                <c:pt idx="320">
                  <c:v>-1.06961947629216E-2</c:v>
                </c:pt>
                <c:pt idx="321">
                  <c:v>-1.07040627395526E-2</c:v>
                </c:pt>
                <c:pt idx="322">
                  <c:v>-1.0690986874448097E-2</c:v>
                </c:pt>
                <c:pt idx="323">
                  <c:v>-1.06767871696064E-2</c:v>
                </c:pt>
                <c:pt idx="324">
                  <c:v>-1.0664884061607503E-2</c:v>
                </c:pt>
                <c:pt idx="325">
                  <c:v>-1.0677085088287299E-2</c:v>
                </c:pt>
                <c:pt idx="326">
                  <c:v>-1.07026481262373E-2</c:v>
                </c:pt>
                <c:pt idx="327">
                  <c:v>-1.0695028933492799E-2</c:v>
                </c:pt>
                <c:pt idx="328">
                  <c:v>-1.0696665527081902E-2</c:v>
                </c:pt>
                <c:pt idx="329">
                  <c:v>-1.0681258287963201E-2</c:v>
                </c:pt>
                <c:pt idx="330">
                  <c:v>-1.0691068210971901E-2</c:v>
                </c:pt>
                <c:pt idx="331">
                  <c:v>-1.06939949654473E-2</c:v>
                </c:pt>
                <c:pt idx="332">
                  <c:v>-1.0685268180767702E-2</c:v>
                </c:pt>
                <c:pt idx="333">
                  <c:v>-1.06975131971178E-2</c:v>
                </c:pt>
                <c:pt idx="334">
                  <c:v>-1.07074320138528E-2</c:v>
                </c:pt>
                <c:pt idx="335">
                  <c:v>-1.06963086109112E-2</c:v>
                </c:pt>
                <c:pt idx="336">
                  <c:v>-1.0735323112667498E-2</c:v>
                </c:pt>
                <c:pt idx="337">
                  <c:v>-1.0730882368896702E-2</c:v>
                </c:pt>
                <c:pt idx="338">
                  <c:v>-1.0715628292048198E-2</c:v>
                </c:pt>
                <c:pt idx="339">
                  <c:v>-1.0695828257748501E-2</c:v>
                </c:pt>
                <c:pt idx="340">
                  <c:v>-1.06942870715321E-2</c:v>
                </c:pt>
                <c:pt idx="341">
                  <c:v>-1.0703558433654701E-2</c:v>
                </c:pt>
                <c:pt idx="342">
                  <c:v>-1.07142609243758E-2</c:v>
                </c:pt>
                <c:pt idx="343">
                  <c:v>-1.07165808636623E-2</c:v>
                </c:pt>
                <c:pt idx="344">
                  <c:v>-1.0740905157074002E-2</c:v>
                </c:pt>
                <c:pt idx="345">
                  <c:v>-1.0717924041001302E-2</c:v>
                </c:pt>
                <c:pt idx="346">
                  <c:v>-1.07353817798739E-2</c:v>
                </c:pt>
                <c:pt idx="347">
                  <c:v>-1.0733250010430002E-2</c:v>
                </c:pt>
                <c:pt idx="348">
                  <c:v>-1.0719353173443399E-2</c:v>
                </c:pt>
                <c:pt idx="349">
                  <c:v>-1.0742113587230999E-2</c:v>
                </c:pt>
                <c:pt idx="350">
                  <c:v>-1.0736726188041799E-2</c:v>
                </c:pt>
                <c:pt idx="351">
                  <c:v>-1.0732013760113998E-2</c:v>
                </c:pt>
                <c:pt idx="352">
                  <c:v>-1.07271332615958E-2</c:v>
                </c:pt>
                <c:pt idx="353">
                  <c:v>-1.07699717992691E-2</c:v>
                </c:pt>
                <c:pt idx="354">
                  <c:v>-1.0748545359188899E-2</c:v>
                </c:pt>
                <c:pt idx="355">
                  <c:v>-1.07835272727532E-2</c:v>
                </c:pt>
                <c:pt idx="356">
                  <c:v>-1.0797200027620499E-2</c:v>
                </c:pt>
                <c:pt idx="357">
                  <c:v>-1.08114240224223E-2</c:v>
                </c:pt>
                <c:pt idx="358">
                  <c:v>-1.08239754343774E-2</c:v>
                </c:pt>
                <c:pt idx="359">
                  <c:v>-1.0803405289159802E-2</c:v>
                </c:pt>
                <c:pt idx="360">
                  <c:v>-1.0811429529501503E-2</c:v>
                </c:pt>
                <c:pt idx="361">
                  <c:v>-1.0828456930869798E-2</c:v>
                </c:pt>
                <c:pt idx="362">
                  <c:v>-1.0786341337179799E-2</c:v>
                </c:pt>
                <c:pt idx="363">
                  <c:v>-1.0767554579694097E-2</c:v>
                </c:pt>
                <c:pt idx="364">
                  <c:v>-1.082561241222E-2</c:v>
                </c:pt>
                <c:pt idx="365">
                  <c:v>-1.0817429117347699E-2</c:v>
                </c:pt>
                <c:pt idx="366">
                  <c:v>-1.08053573413424E-2</c:v>
                </c:pt>
                <c:pt idx="367">
                  <c:v>-1.0818923986394599E-2</c:v>
                </c:pt>
                <c:pt idx="368">
                  <c:v>-1.0821535909648697E-2</c:v>
                </c:pt>
                <c:pt idx="369">
                  <c:v>-1.0810531185383001E-2</c:v>
                </c:pt>
                <c:pt idx="370">
                  <c:v>-1.0844753382125002E-2</c:v>
                </c:pt>
                <c:pt idx="371">
                  <c:v>-1.0892887469243799E-2</c:v>
                </c:pt>
                <c:pt idx="372">
                  <c:v>-1.0860022453383199E-2</c:v>
                </c:pt>
                <c:pt idx="373">
                  <c:v>-1.0842397459553999E-2</c:v>
                </c:pt>
                <c:pt idx="374">
                  <c:v>-1.0903370755609501E-2</c:v>
                </c:pt>
                <c:pt idx="375">
                  <c:v>-1.09383776074976E-2</c:v>
                </c:pt>
                <c:pt idx="376">
                  <c:v>-1.0932811302770502E-2</c:v>
                </c:pt>
                <c:pt idx="377">
                  <c:v>-1.0921990253285102E-2</c:v>
                </c:pt>
                <c:pt idx="378">
                  <c:v>-1.09586583185616E-2</c:v>
                </c:pt>
                <c:pt idx="379">
                  <c:v>-1.09359129964461E-2</c:v>
                </c:pt>
                <c:pt idx="380">
                  <c:v>-1.0928979402272202E-2</c:v>
                </c:pt>
                <c:pt idx="381">
                  <c:v>-1.0949729321570199E-2</c:v>
                </c:pt>
                <c:pt idx="382">
                  <c:v>-1.09686997439539E-2</c:v>
                </c:pt>
                <c:pt idx="383">
                  <c:v>-1.0971346560110897E-2</c:v>
                </c:pt>
                <c:pt idx="384">
                  <c:v>-1.0971944557688899E-2</c:v>
                </c:pt>
                <c:pt idx="385">
                  <c:v>-1.1021278274862399E-2</c:v>
                </c:pt>
                <c:pt idx="386">
                  <c:v>-1.0998124038444398E-2</c:v>
                </c:pt>
                <c:pt idx="387">
                  <c:v>-1.10250853950514E-2</c:v>
                </c:pt>
                <c:pt idx="388">
                  <c:v>-1.1080231991490498E-2</c:v>
                </c:pt>
                <c:pt idx="389">
                  <c:v>-1.1067311254824299E-2</c:v>
                </c:pt>
                <c:pt idx="390">
                  <c:v>-1.1081031157510302E-2</c:v>
                </c:pt>
                <c:pt idx="391">
                  <c:v>-1.1072820534261098E-2</c:v>
                </c:pt>
                <c:pt idx="392">
                  <c:v>-1.1060374653199298E-2</c:v>
                </c:pt>
                <c:pt idx="393">
                  <c:v>-1.1075814626985299E-2</c:v>
                </c:pt>
                <c:pt idx="394">
                  <c:v>-1.112224861049E-2</c:v>
                </c:pt>
                <c:pt idx="395">
                  <c:v>-1.1196389171419402E-2</c:v>
                </c:pt>
                <c:pt idx="396">
                  <c:v>-1.1166736227626499E-2</c:v>
                </c:pt>
                <c:pt idx="397">
                  <c:v>-1.1217942178801401E-2</c:v>
                </c:pt>
                <c:pt idx="398">
                  <c:v>-1.12255995511796E-2</c:v>
                </c:pt>
                <c:pt idx="399">
                  <c:v>-1.1223107268433598E-2</c:v>
                </c:pt>
                <c:pt idx="400">
                  <c:v>-1.1247378272098598E-2</c:v>
                </c:pt>
                <c:pt idx="401">
                  <c:v>-1.1330566421963199E-2</c:v>
                </c:pt>
                <c:pt idx="402">
                  <c:v>-1.1281655439424901E-2</c:v>
                </c:pt>
                <c:pt idx="403">
                  <c:v>-1.06458933702255E-2</c:v>
                </c:pt>
                <c:pt idx="404">
                  <c:v>-1.06465652024675E-2</c:v>
                </c:pt>
                <c:pt idx="405">
                  <c:v>-1.0612377269811299E-2</c:v>
                </c:pt>
                <c:pt idx="406">
                  <c:v>-1.0659785243779698E-2</c:v>
                </c:pt>
                <c:pt idx="407">
                  <c:v>-1.06582144378197E-2</c:v>
                </c:pt>
                <c:pt idx="408">
                  <c:v>-1.06778475814285E-2</c:v>
                </c:pt>
                <c:pt idx="409">
                  <c:v>-1.06895002065748E-2</c:v>
                </c:pt>
                <c:pt idx="410">
                  <c:v>-1.06638161366376E-2</c:v>
                </c:pt>
                <c:pt idx="411">
                  <c:v>-1.07145299094627E-2</c:v>
                </c:pt>
                <c:pt idx="412">
                  <c:v>-1.06832674293611E-2</c:v>
                </c:pt>
                <c:pt idx="413">
                  <c:v>-1.06749882366732E-2</c:v>
                </c:pt>
                <c:pt idx="414">
                  <c:v>-1.0686641597394899E-2</c:v>
                </c:pt>
                <c:pt idx="415">
                  <c:v>-1.0712229634912897E-2</c:v>
                </c:pt>
                <c:pt idx="416">
                  <c:v>-1.0706585205019801E-2</c:v>
                </c:pt>
                <c:pt idx="417">
                  <c:v>-1.0741062788861902E-2</c:v>
                </c:pt>
                <c:pt idx="418">
                  <c:v>-1.07223409545872E-2</c:v>
                </c:pt>
                <c:pt idx="419">
                  <c:v>-1.0732297855837E-2</c:v>
                </c:pt>
                <c:pt idx="420">
                  <c:v>-1.07630682819694E-2</c:v>
                </c:pt>
                <c:pt idx="421">
                  <c:v>-1.0795791594261401E-2</c:v>
                </c:pt>
                <c:pt idx="422">
                  <c:v>-1.07936183614833E-2</c:v>
                </c:pt>
                <c:pt idx="423">
                  <c:v>-1.0749810047311101E-2</c:v>
                </c:pt>
                <c:pt idx="424">
                  <c:v>-1.0766854825819296E-2</c:v>
                </c:pt>
                <c:pt idx="425">
                  <c:v>-1.07996328756638E-2</c:v>
                </c:pt>
                <c:pt idx="426">
                  <c:v>-1.08209555767982E-2</c:v>
                </c:pt>
                <c:pt idx="427">
                  <c:v>-1.0860732240537798E-2</c:v>
                </c:pt>
                <c:pt idx="428">
                  <c:v>-1.0852002782019102E-2</c:v>
                </c:pt>
                <c:pt idx="429">
                  <c:v>-1.07883045099459E-2</c:v>
                </c:pt>
                <c:pt idx="430">
                  <c:v>-1.0885035410707802E-2</c:v>
                </c:pt>
                <c:pt idx="431">
                  <c:v>-1.08666048293188E-2</c:v>
                </c:pt>
                <c:pt idx="432">
                  <c:v>-1.0840180362206102E-2</c:v>
                </c:pt>
                <c:pt idx="433">
                  <c:v>-1.0902630956557101E-2</c:v>
                </c:pt>
                <c:pt idx="434">
                  <c:v>-1.0936602664994499E-2</c:v>
                </c:pt>
                <c:pt idx="435">
                  <c:v>-1.0906442138054499E-2</c:v>
                </c:pt>
                <c:pt idx="436">
                  <c:v>-1.0968038977108798E-2</c:v>
                </c:pt>
                <c:pt idx="437">
                  <c:v>-1.0962134506502699E-2</c:v>
                </c:pt>
                <c:pt idx="438">
                  <c:v>-1.0975004131871699E-2</c:v>
                </c:pt>
                <c:pt idx="439">
                  <c:v>-1.10304098098577E-2</c:v>
                </c:pt>
                <c:pt idx="440">
                  <c:v>-1.0981606671215401E-2</c:v>
                </c:pt>
                <c:pt idx="441">
                  <c:v>-1.0972284477610401E-2</c:v>
                </c:pt>
                <c:pt idx="442">
                  <c:v>-1.1106406263345496E-2</c:v>
                </c:pt>
                <c:pt idx="443">
                  <c:v>-1.1026627032554996E-2</c:v>
                </c:pt>
                <c:pt idx="444">
                  <c:v>-1.1088355704239898E-2</c:v>
                </c:pt>
                <c:pt idx="445">
                  <c:v>-1.11028614774887E-2</c:v>
                </c:pt>
                <c:pt idx="446">
                  <c:v>-1.1119950984634199E-2</c:v>
                </c:pt>
                <c:pt idx="447">
                  <c:v>-1.1063643036651798E-2</c:v>
                </c:pt>
                <c:pt idx="448">
                  <c:v>-1.11297023260147E-2</c:v>
                </c:pt>
                <c:pt idx="449">
                  <c:v>-1.1154778340877601E-2</c:v>
                </c:pt>
                <c:pt idx="450">
                  <c:v>-1.12014598460775E-2</c:v>
                </c:pt>
                <c:pt idx="451">
                  <c:v>-1.12216813254521E-2</c:v>
                </c:pt>
                <c:pt idx="452">
                  <c:v>-1.1251871850949599E-2</c:v>
                </c:pt>
                <c:pt idx="453">
                  <c:v>-1.1247092051543199E-2</c:v>
                </c:pt>
                <c:pt idx="454">
                  <c:v>-1.1318004708590698E-2</c:v>
                </c:pt>
                <c:pt idx="455">
                  <c:v>-1.1222977901589199E-2</c:v>
                </c:pt>
                <c:pt idx="456">
                  <c:v>-1.1251514161990302E-2</c:v>
                </c:pt>
                <c:pt idx="457">
                  <c:v>-1.1475533498064001E-2</c:v>
                </c:pt>
                <c:pt idx="458">
                  <c:v>-1.1427802403884099E-2</c:v>
                </c:pt>
                <c:pt idx="459">
                  <c:v>-1.1304800090076599E-2</c:v>
                </c:pt>
                <c:pt idx="460">
                  <c:v>-1.13953102141844E-2</c:v>
                </c:pt>
                <c:pt idx="461">
                  <c:v>-1.14451152535242E-2</c:v>
                </c:pt>
                <c:pt idx="462">
                  <c:v>-1.1441327480996202E-2</c:v>
                </c:pt>
                <c:pt idx="463">
                  <c:v>-1.1558808908899501E-2</c:v>
                </c:pt>
                <c:pt idx="464">
                  <c:v>-1.1561909355461501E-2</c:v>
                </c:pt>
                <c:pt idx="465">
                  <c:v>-1.1626869916462302E-2</c:v>
                </c:pt>
                <c:pt idx="466">
                  <c:v>-1.1668239347453001E-2</c:v>
                </c:pt>
                <c:pt idx="467">
                  <c:v>-1.1717053430291202E-2</c:v>
                </c:pt>
                <c:pt idx="468">
                  <c:v>-1.17817912890462E-2</c:v>
                </c:pt>
                <c:pt idx="469">
                  <c:v>-1.1828036494096899E-2</c:v>
                </c:pt>
                <c:pt idx="470">
                  <c:v>-1.1803231604664999E-2</c:v>
                </c:pt>
                <c:pt idx="471">
                  <c:v>-1.1823150141164999E-2</c:v>
                </c:pt>
                <c:pt idx="472">
                  <c:v>-1.2002136943911199E-2</c:v>
                </c:pt>
                <c:pt idx="473">
                  <c:v>-1.2044039211363799E-2</c:v>
                </c:pt>
                <c:pt idx="474">
                  <c:v>-1.1851740001634199E-2</c:v>
                </c:pt>
                <c:pt idx="475">
                  <c:v>-1.1969535277679699E-2</c:v>
                </c:pt>
                <c:pt idx="476">
                  <c:v>-1.1991153485370401E-2</c:v>
                </c:pt>
                <c:pt idx="477">
                  <c:v>-1.2304233297514802E-2</c:v>
                </c:pt>
                <c:pt idx="478">
                  <c:v>-1.2296168262556499E-2</c:v>
                </c:pt>
                <c:pt idx="479">
                  <c:v>-1.23156417406878E-2</c:v>
                </c:pt>
                <c:pt idx="480">
                  <c:v>-1.2091394459020702E-2</c:v>
                </c:pt>
                <c:pt idx="481">
                  <c:v>-1.2239755555006296E-2</c:v>
                </c:pt>
                <c:pt idx="482">
                  <c:v>-1.2488631154204099E-2</c:v>
                </c:pt>
                <c:pt idx="483">
                  <c:v>-1.2374430758390301E-2</c:v>
                </c:pt>
                <c:pt idx="484">
                  <c:v>-1.2570974351309296E-2</c:v>
                </c:pt>
                <c:pt idx="485">
                  <c:v>-1.2596332400042201E-2</c:v>
                </c:pt>
                <c:pt idx="486">
                  <c:v>-1.2608108873994302E-2</c:v>
                </c:pt>
                <c:pt idx="487">
                  <c:v>-1.2699858161974897E-2</c:v>
                </c:pt>
                <c:pt idx="488">
                  <c:v>-1.27689144380783E-2</c:v>
                </c:pt>
                <c:pt idx="489">
                  <c:v>-1.2788338061614302E-2</c:v>
                </c:pt>
                <c:pt idx="490">
                  <c:v>-1.2858083030393706E-2</c:v>
                </c:pt>
                <c:pt idx="491">
                  <c:v>-1.30364112903528E-2</c:v>
                </c:pt>
                <c:pt idx="492">
                  <c:v>-1.30992679076563E-2</c:v>
                </c:pt>
                <c:pt idx="493">
                  <c:v>-1.3193052661110599E-2</c:v>
                </c:pt>
                <c:pt idx="494">
                  <c:v>-1.3127269541038201E-2</c:v>
                </c:pt>
                <c:pt idx="495">
                  <c:v>-1.3407259264619E-2</c:v>
                </c:pt>
                <c:pt idx="496">
                  <c:v>-1.3420128062822601E-2</c:v>
                </c:pt>
                <c:pt idx="497">
                  <c:v>-1.3558892752004802E-2</c:v>
                </c:pt>
                <c:pt idx="498">
                  <c:v>-1.3600599257874301E-2</c:v>
                </c:pt>
                <c:pt idx="499">
                  <c:v>-1.3745969815763202E-2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B56A-4A25-B6E9-47167997A94B}"/>
            </c:ext>
          </c:extLst>
        </c:ser>
        <c:ser>
          <c:idx val="2"/>
          <c:order val="2"/>
          <c:tx>
            <c:v>CH1 (OUT)</c:v>
          </c:tx>
          <c:spPr>
            <a:ln w="19050">
              <a:solidFill>
                <a:srgbClr val="9BBB59"/>
              </a:solidFill>
            </a:ln>
          </c:spPr>
          <c:marker>
            <c:symbol val="circle"/>
            <c:size val="5"/>
            <c:spPr>
              <a:solidFill>
                <a:srgbClr val="9BBB59"/>
              </a:solidFill>
              <a:ln>
                <a:solidFill>
                  <a:srgbClr val="9BBB59"/>
                </a:solidFill>
              </a:ln>
            </c:spPr>
          </c:marker>
          <c:xVal>
            <c:numRef>
              <c:f>'GAIN vs FREQ'!$G$5:$G$504</c:f>
              <c:numCache>
                <c:formatCode>#,##0</c:formatCode>
                <c:ptCount val="500"/>
                <c:pt idx="0" formatCode="General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 formatCode="General">
                  <c:v>20</c:v>
                </c:pt>
              </c:numCache>
            </c:numRef>
          </c:xVal>
          <c:yVal>
            <c:numRef>
              <c:f>'GAIN vs FREQ'!$H$5:$H$504</c:f>
              <c:numCache>
                <c:formatCode>General</c:formatCode>
                <c:ptCount val="500"/>
                <c:pt idx="0">
                  <c:v>5.1635448454900295E-3</c:v>
                </c:pt>
                <c:pt idx="1">
                  <c:v>4.77511653295322E-3</c:v>
                </c:pt>
                <c:pt idx="2">
                  <c:v>4.4093091901873998E-3</c:v>
                </c:pt>
                <c:pt idx="3">
                  <c:v>4.0770401123751202E-3</c:v>
                </c:pt>
                <c:pt idx="4">
                  <c:v>3.7410222880164996E-3</c:v>
                </c:pt>
                <c:pt idx="5">
                  <c:v>3.4075409142618998E-3</c:v>
                </c:pt>
                <c:pt idx="6">
                  <c:v>3.1047228969870201E-3</c:v>
                </c:pt>
                <c:pt idx="7">
                  <c:v>2.7935513200292301E-3</c:v>
                </c:pt>
                <c:pt idx="8">
                  <c:v>2.5159317222637695E-3</c:v>
                </c:pt>
                <c:pt idx="9">
                  <c:v>2.2032449285703886E-3</c:v>
                </c:pt>
                <c:pt idx="10">
                  <c:v>1.8800919320646301E-3</c:v>
                </c:pt>
                <c:pt idx="11">
                  <c:v>1.5690698534178596E-3</c:v>
                </c:pt>
                <c:pt idx="12">
                  <c:v>1.27411416613324E-3</c:v>
                </c:pt>
                <c:pt idx="13">
                  <c:v>9.4493380863132402E-4</c:v>
                </c:pt>
                <c:pt idx="14">
                  <c:v>6.4791942789855204E-4</c:v>
                </c:pt>
                <c:pt idx="15">
                  <c:v>3.1815144942435095E-4</c:v>
                </c:pt>
                <c:pt idx="16">
                  <c:v>-3.0412618655187095E-6</c:v>
                </c:pt>
                <c:pt idx="17">
                  <c:v>-3.3658228787235208E-4</c:v>
                </c:pt>
                <c:pt idx="18">
                  <c:v>-6.6652888810010702E-4</c:v>
                </c:pt>
                <c:pt idx="19">
                  <c:v>-9.9427390525741368E-4</c:v>
                </c:pt>
                <c:pt idx="20">
                  <c:v>-1.3363788119034497E-3</c:v>
                </c:pt>
                <c:pt idx="21">
                  <c:v>-1.6519251692545102E-3</c:v>
                </c:pt>
                <c:pt idx="22">
                  <c:v>-1.9875408938257798E-3</c:v>
                </c:pt>
                <c:pt idx="23">
                  <c:v>-2.2972694579995994E-3</c:v>
                </c:pt>
                <c:pt idx="24">
                  <c:v>-2.6469214451405798E-3</c:v>
                </c:pt>
                <c:pt idx="25">
                  <c:v>-2.9531730737546E-3</c:v>
                </c:pt>
                <c:pt idx="26">
                  <c:v>-3.2781496801546801E-3</c:v>
                </c:pt>
                <c:pt idx="27">
                  <c:v>-3.5933323549947205E-3</c:v>
                </c:pt>
                <c:pt idx="28">
                  <c:v>-3.9054719734449911E-3</c:v>
                </c:pt>
                <c:pt idx="29">
                  <c:v>-4.2041158969887615E-3</c:v>
                </c:pt>
                <c:pt idx="30">
                  <c:v>-4.4874660146750006E-3</c:v>
                </c:pt>
                <c:pt idx="31">
                  <c:v>-4.7805336487924599E-3</c:v>
                </c:pt>
                <c:pt idx="32">
                  <c:v>-5.0273737250464603E-3</c:v>
                </c:pt>
                <c:pt idx="33">
                  <c:v>-5.30633099523572E-3</c:v>
                </c:pt>
                <c:pt idx="34">
                  <c:v>-5.5447517568783002E-3</c:v>
                </c:pt>
                <c:pt idx="35">
                  <c:v>-5.7967029658653902E-3</c:v>
                </c:pt>
                <c:pt idx="36">
                  <c:v>-6.03210125746433E-3</c:v>
                </c:pt>
                <c:pt idx="37">
                  <c:v>-6.2606418594608479E-3</c:v>
                </c:pt>
                <c:pt idx="38">
                  <c:v>-6.4728544190447703E-3</c:v>
                </c:pt>
                <c:pt idx="39">
                  <c:v>-6.6968595199355403E-3</c:v>
                </c:pt>
                <c:pt idx="40">
                  <c:v>-6.8564986980904682E-3</c:v>
                </c:pt>
                <c:pt idx="41">
                  <c:v>-7.0487966361860287E-3</c:v>
                </c:pt>
                <c:pt idx="42">
                  <c:v>-7.2203385103992487E-3</c:v>
                </c:pt>
                <c:pt idx="43">
                  <c:v>-7.3862521954944794E-3</c:v>
                </c:pt>
                <c:pt idx="44">
                  <c:v>-7.5277042802169977E-3</c:v>
                </c:pt>
                <c:pt idx="45">
                  <c:v>-7.6707032303057103E-3</c:v>
                </c:pt>
                <c:pt idx="46">
                  <c:v>-7.8222367660609124E-3</c:v>
                </c:pt>
                <c:pt idx="47">
                  <c:v>-7.942850600842731E-3</c:v>
                </c:pt>
                <c:pt idx="48">
                  <c:v>-8.0636132990984394E-3</c:v>
                </c:pt>
                <c:pt idx="49">
                  <c:v>-8.1546852070774594E-3</c:v>
                </c:pt>
                <c:pt idx="50">
                  <c:v>-8.2571170936407406E-3</c:v>
                </c:pt>
                <c:pt idx="51">
                  <c:v>-8.3612252321971208E-3</c:v>
                </c:pt>
                <c:pt idx="52">
                  <c:v>-8.4548529415809145E-3</c:v>
                </c:pt>
                <c:pt idx="53">
                  <c:v>-8.5215503828564888E-3</c:v>
                </c:pt>
                <c:pt idx="54">
                  <c:v>-8.6234405823569608E-3</c:v>
                </c:pt>
                <c:pt idx="55">
                  <c:v>-8.6837244340489689E-3</c:v>
                </c:pt>
                <c:pt idx="56">
                  <c:v>-8.7583574255290213E-3</c:v>
                </c:pt>
                <c:pt idx="57">
                  <c:v>-8.7884210390057407E-3</c:v>
                </c:pt>
                <c:pt idx="58">
                  <c:v>-8.8508441534776439E-3</c:v>
                </c:pt>
                <c:pt idx="59">
                  <c:v>-8.9003799524905603E-3</c:v>
                </c:pt>
                <c:pt idx="60">
                  <c:v>-8.9588606857143524E-3</c:v>
                </c:pt>
                <c:pt idx="61">
                  <c:v>-8.9839205488464902E-3</c:v>
                </c:pt>
                <c:pt idx="62">
                  <c:v>-9.0455020405338597E-3</c:v>
                </c:pt>
                <c:pt idx="63">
                  <c:v>-9.0700193689020586E-3</c:v>
                </c:pt>
                <c:pt idx="64">
                  <c:v>-9.0972931222915998E-3</c:v>
                </c:pt>
                <c:pt idx="65">
                  <c:v>-9.1377124313679198E-3</c:v>
                </c:pt>
                <c:pt idx="66">
                  <c:v>-9.1881245001769751E-3</c:v>
                </c:pt>
                <c:pt idx="67">
                  <c:v>-9.2132888646331203E-3</c:v>
                </c:pt>
                <c:pt idx="68">
                  <c:v>-9.2367916305565283E-3</c:v>
                </c:pt>
                <c:pt idx="69">
                  <c:v>-9.2613083421574909E-3</c:v>
                </c:pt>
                <c:pt idx="70">
                  <c:v>-9.2825500061050892E-3</c:v>
                </c:pt>
                <c:pt idx="71">
                  <c:v>-9.3253666877408103E-3</c:v>
                </c:pt>
                <c:pt idx="72">
                  <c:v>-9.3528971506488656E-3</c:v>
                </c:pt>
                <c:pt idx="73">
                  <c:v>-9.3733459806779589E-3</c:v>
                </c:pt>
                <c:pt idx="74">
                  <c:v>-9.396815239447822E-3</c:v>
                </c:pt>
                <c:pt idx="75">
                  <c:v>-9.4282126918058401E-3</c:v>
                </c:pt>
                <c:pt idx="76">
                  <c:v>-9.4453199864563183E-3</c:v>
                </c:pt>
                <c:pt idx="77">
                  <c:v>-9.4765382382282892E-3</c:v>
                </c:pt>
                <c:pt idx="78">
                  <c:v>-9.5162180009518028E-3</c:v>
                </c:pt>
                <c:pt idx="79">
                  <c:v>-9.5403642110959298E-3</c:v>
                </c:pt>
                <c:pt idx="80">
                  <c:v>-9.5666266447372392E-3</c:v>
                </c:pt>
                <c:pt idx="81">
                  <c:v>-9.592353648835001E-3</c:v>
                </c:pt>
                <c:pt idx="82">
                  <c:v>-9.6415505915599994E-3</c:v>
                </c:pt>
                <c:pt idx="83">
                  <c:v>-9.6615968803531842E-3</c:v>
                </c:pt>
                <c:pt idx="84">
                  <c:v>-9.7027744527573481E-3</c:v>
                </c:pt>
                <c:pt idx="85">
                  <c:v>-9.7263449835765601E-3</c:v>
                </c:pt>
                <c:pt idx="86">
                  <c:v>-9.7401380273715206E-3</c:v>
                </c:pt>
                <c:pt idx="87">
                  <c:v>-9.802479733045058E-3</c:v>
                </c:pt>
                <c:pt idx="88">
                  <c:v>-9.8167005499226606E-3</c:v>
                </c:pt>
                <c:pt idx="89">
                  <c:v>-9.8442119692758612E-3</c:v>
                </c:pt>
                <c:pt idx="90">
                  <c:v>-9.8885140054433412E-3</c:v>
                </c:pt>
                <c:pt idx="91">
                  <c:v>-9.9195997627166202E-3</c:v>
                </c:pt>
                <c:pt idx="92">
                  <c:v>-9.9675859283855101E-3</c:v>
                </c:pt>
                <c:pt idx="93">
                  <c:v>-9.9870951838767277E-3</c:v>
                </c:pt>
                <c:pt idx="94">
                  <c:v>-1.00180972176954E-2</c:v>
                </c:pt>
                <c:pt idx="95">
                  <c:v>-1.0058207831567299E-2</c:v>
                </c:pt>
                <c:pt idx="96">
                  <c:v>-1.00925299449102E-2</c:v>
                </c:pt>
                <c:pt idx="97">
                  <c:v>-1.01159735990744E-2</c:v>
                </c:pt>
                <c:pt idx="98">
                  <c:v>-1.0149557220308301E-2</c:v>
                </c:pt>
                <c:pt idx="99">
                  <c:v>-1.01977996029459E-2</c:v>
                </c:pt>
                <c:pt idx="100">
                  <c:v>-1.0221976303352401E-2</c:v>
                </c:pt>
                <c:pt idx="101">
                  <c:v>-1.02578519413003E-2</c:v>
                </c:pt>
                <c:pt idx="102">
                  <c:v>-1.0287788745508E-2</c:v>
                </c:pt>
                <c:pt idx="103">
                  <c:v>-1.0300813914908599E-2</c:v>
                </c:pt>
                <c:pt idx="104">
                  <c:v>-1.0346520319100201E-2</c:v>
                </c:pt>
                <c:pt idx="105">
                  <c:v>-1.0376781457428898E-2</c:v>
                </c:pt>
                <c:pt idx="106">
                  <c:v>-1.04127675901014E-2</c:v>
                </c:pt>
                <c:pt idx="107">
                  <c:v>-1.0454897944912001E-2</c:v>
                </c:pt>
                <c:pt idx="108">
                  <c:v>-1.04881863565373E-2</c:v>
                </c:pt>
                <c:pt idx="109">
                  <c:v>-1.05213269459608E-2</c:v>
                </c:pt>
                <c:pt idx="110">
                  <c:v>-1.0543050963776798E-2</c:v>
                </c:pt>
                <c:pt idx="111">
                  <c:v>-1.0573296468189899E-2</c:v>
                </c:pt>
                <c:pt idx="112">
                  <c:v>-1.06292651883128E-2</c:v>
                </c:pt>
                <c:pt idx="113">
                  <c:v>-1.0676136098133502E-2</c:v>
                </c:pt>
                <c:pt idx="114">
                  <c:v>-1.0711141023403901E-2</c:v>
                </c:pt>
                <c:pt idx="115">
                  <c:v>-1.0731773733651102E-2</c:v>
                </c:pt>
                <c:pt idx="116">
                  <c:v>-1.0775870462594801E-2</c:v>
                </c:pt>
                <c:pt idx="117">
                  <c:v>-1.0803602523071096E-2</c:v>
                </c:pt>
                <c:pt idx="118">
                  <c:v>-1.08538452525496E-2</c:v>
                </c:pt>
                <c:pt idx="119">
                  <c:v>-1.0858239360970299E-2</c:v>
                </c:pt>
                <c:pt idx="120">
                  <c:v>-1.0909717276406E-2</c:v>
                </c:pt>
                <c:pt idx="121">
                  <c:v>-1.0957608564950301E-2</c:v>
                </c:pt>
                <c:pt idx="122">
                  <c:v>-1.097776581038E-2</c:v>
                </c:pt>
                <c:pt idx="123">
                  <c:v>-1.10219509797708E-2</c:v>
                </c:pt>
                <c:pt idx="124">
                  <c:v>-1.1070078531489901E-2</c:v>
                </c:pt>
                <c:pt idx="125">
                  <c:v>-1.10791730632031E-2</c:v>
                </c:pt>
                <c:pt idx="126">
                  <c:v>-1.1105074867662599E-2</c:v>
                </c:pt>
                <c:pt idx="127">
                  <c:v>-1.1150290828353102E-2</c:v>
                </c:pt>
                <c:pt idx="128">
                  <c:v>-1.11660360882115E-2</c:v>
                </c:pt>
                <c:pt idx="129">
                  <c:v>-1.1196499742654999E-2</c:v>
                </c:pt>
                <c:pt idx="130">
                  <c:v>-1.12272465861158E-2</c:v>
                </c:pt>
                <c:pt idx="131">
                  <c:v>-1.1261862180442698E-2</c:v>
                </c:pt>
                <c:pt idx="132">
                  <c:v>-1.1273702684000702E-2</c:v>
                </c:pt>
                <c:pt idx="133">
                  <c:v>-1.12939734569968E-2</c:v>
                </c:pt>
                <c:pt idx="134">
                  <c:v>-1.1317794833891399E-2</c:v>
                </c:pt>
                <c:pt idx="135">
                  <c:v>-1.13790062666103E-2</c:v>
                </c:pt>
                <c:pt idx="136">
                  <c:v>-1.1372742316718101E-2</c:v>
                </c:pt>
                <c:pt idx="137">
                  <c:v>-1.13898947636056E-2</c:v>
                </c:pt>
                <c:pt idx="138">
                  <c:v>-1.1419336435132601E-2</c:v>
                </c:pt>
                <c:pt idx="139">
                  <c:v>-1.14674991132296E-2</c:v>
                </c:pt>
                <c:pt idx="140">
                  <c:v>-1.1483459276555199E-2</c:v>
                </c:pt>
                <c:pt idx="141">
                  <c:v>-1.1518117317748303E-2</c:v>
                </c:pt>
                <c:pt idx="142">
                  <c:v>-1.15371311744112E-2</c:v>
                </c:pt>
                <c:pt idx="143">
                  <c:v>-1.1561159729926503E-2</c:v>
                </c:pt>
                <c:pt idx="144">
                  <c:v>-1.1575973313144099E-2</c:v>
                </c:pt>
                <c:pt idx="145">
                  <c:v>-1.16016737521266E-2</c:v>
                </c:pt>
                <c:pt idx="146">
                  <c:v>-1.1621083500777601E-2</c:v>
                </c:pt>
                <c:pt idx="147">
                  <c:v>-1.16357481515404E-2</c:v>
                </c:pt>
                <c:pt idx="148">
                  <c:v>-1.1652667667291401E-2</c:v>
                </c:pt>
                <c:pt idx="149">
                  <c:v>-1.1687129270797202E-2</c:v>
                </c:pt>
                <c:pt idx="150">
                  <c:v>-1.1697961760506401E-2</c:v>
                </c:pt>
                <c:pt idx="151">
                  <c:v>-1.1719709512195199E-2</c:v>
                </c:pt>
                <c:pt idx="152">
                  <c:v>-1.1731659749129599E-2</c:v>
                </c:pt>
                <c:pt idx="153">
                  <c:v>-1.17543868892544E-2</c:v>
                </c:pt>
                <c:pt idx="154">
                  <c:v>-1.1774591994005001E-2</c:v>
                </c:pt>
                <c:pt idx="155">
                  <c:v>-1.1794459984628001E-2</c:v>
                </c:pt>
                <c:pt idx="156">
                  <c:v>-1.1816029408036799E-2</c:v>
                </c:pt>
                <c:pt idx="157">
                  <c:v>-1.1836915307659499E-2</c:v>
                </c:pt>
                <c:pt idx="158">
                  <c:v>-1.1828893028072497E-2</c:v>
                </c:pt>
                <c:pt idx="159">
                  <c:v>-1.1852939384499099E-2</c:v>
                </c:pt>
                <c:pt idx="160">
                  <c:v>-1.1870669717677E-2</c:v>
                </c:pt>
                <c:pt idx="161">
                  <c:v>-1.18934757086839E-2</c:v>
                </c:pt>
                <c:pt idx="162">
                  <c:v>-1.1896926653834301E-2</c:v>
                </c:pt>
                <c:pt idx="163">
                  <c:v>-1.1916796500580902E-2</c:v>
                </c:pt>
                <c:pt idx="164">
                  <c:v>-1.19244058658717E-2</c:v>
                </c:pt>
                <c:pt idx="165">
                  <c:v>-1.1927633434576299E-2</c:v>
                </c:pt>
                <c:pt idx="166">
                  <c:v>-1.1954264240723E-2</c:v>
                </c:pt>
                <c:pt idx="167">
                  <c:v>-1.1961032729224198E-2</c:v>
                </c:pt>
                <c:pt idx="168">
                  <c:v>-1.1957299497597803E-2</c:v>
                </c:pt>
                <c:pt idx="169">
                  <c:v>-1.19915021448544E-2</c:v>
                </c:pt>
                <c:pt idx="170">
                  <c:v>-1.19795135163723E-2</c:v>
                </c:pt>
                <c:pt idx="171">
                  <c:v>-1.1988115123062802E-2</c:v>
                </c:pt>
                <c:pt idx="172">
                  <c:v>-1.2029832997571903E-2</c:v>
                </c:pt>
                <c:pt idx="173">
                  <c:v>-1.2015987855396801E-2</c:v>
                </c:pt>
                <c:pt idx="174">
                  <c:v>-1.20486349475218E-2</c:v>
                </c:pt>
                <c:pt idx="175">
                  <c:v>-1.2047383122628E-2</c:v>
                </c:pt>
                <c:pt idx="176">
                  <c:v>-1.2060241426390301E-2</c:v>
                </c:pt>
                <c:pt idx="177">
                  <c:v>-1.2067961936375E-2</c:v>
                </c:pt>
                <c:pt idx="178">
                  <c:v>-1.2073738625776299E-2</c:v>
                </c:pt>
                <c:pt idx="179">
                  <c:v>-1.2096883839153798E-2</c:v>
                </c:pt>
                <c:pt idx="180">
                  <c:v>-1.2087460665478E-2</c:v>
                </c:pt>
                <c:pt idx="181">
                  <c:v>-1.20996580189816E-2</c:v>
                </c:pt>
                <c:pt idx="182">
                  <c:v>-1.2109833243654899E-2</c:v>
                </c:pt>
                <c:pt idx="183">
                  <c:v>-1.2130117410074E-2</c:v>
                </c:pt>
                <c:pt idx="184">
                  <c:v>-1.21241019001238E-2</c:v>
                </c:pt>
                <c:pt idx="185">
                  <c:v>-1.21302311089426E-2</c:v>
                </c:pt>
                <c:pt idx="186">
                  <c:v>-1.2162847810740601E-2</c:v>
                </c:pt>
                <c:pt idx="187">
                  <c:v>-1.21524942589584E-2</c:v>
                </c:pt>
                <c:pt idx="188">
                  <c:v>-1.21552565807054E-2</c:v>
                </c:pt>
                <c:pt idx="189">
                  <c:v>-1.2151707915046699E-2</c:v>
                </c:pt>
                <c:pt idx="190">
                  <c:v>-1.21689125497724E-2</c:v>
                </c:pt>
                <c:pt idx="191">
                  <c:v>-1.2176881802419E-2</c:v>
                </c:pt>
                <c:pt idx="192">
                  <c:v>-1.21888852291848E-2</c:v>
                </c:pt>
                <c:pt idx="193">
                  <c:v>-1.2165525952972499E-2</c:v>
                </c:pt>
                <c:pt idx="194">
                  <c:v>-1.21732032339988E-2</c:v>
                </c:pt>
                <c:pt idx="195">
                  <c:v>-1.2203085810523999E-2</c:v>
                </c:pt>
                <c:pt idx="196">
                  <c:v>-1.2218941444866903E-2</c:v>
                </c:pt>
                <c:pt idx="197">
                  <c:v>-1.2204829005956E-2</c:v>
                </c:pt>
                <c:pt idx="198">
                  <c:v>-1.2225715906746801E-2</c:v>
                </c:pt>
                <c:pt idx="199">
                  <c:v>-1.2230098689998801E-2</c:v>
                </c:pt>
                <c:pt idx="200">
                  <c:v>-1.2225017895186201E-2</c:v>
                </c:pt>
                <c:pt idx="201">
                  <c:v>-1.2245156835597699E-2</c:v>
                </c:pt>
                <c:pt idx="202">
                  <c:v>-1.2241623899843899E-2</c:v>
                </c:pt>
                <c:pt idx="203">
                  <c:v>-1.2251172620726001E-2</c:v>
                </c:pt>
                <c:pt idx="204">
                  <c:v>-1.2241275484188298E-2</c:v>
                </c:pt>
                <c:pt idx="205">
                  <c:v>-1.2269843681165502E-2</c:v>
                </c:pt>
                <c:pt idx="206">
                  <c:v>-1.2248592630402601E-2</c:v>
                </c:pt>
                <c:pt idx="207">
                  <c:v>-1.2255300523181299E-2</c:v>
                </c:pt>
                <c:pt idx="208">
                  <c:v>-1.2266154600798202E-2</c:v>
                </c:pt>
                <c:pt idx="209">
                  <c:v>-1.2263585020507901E-2</c:v>
                </c:pt>
                <c:pt idx="210">
                  <c:v>-1.22643663639677E-2</c:v>
                </c:pt>
                <c:pt idx="211">
                  <c:v>-1.2283856743439601E-2</c:v>
                </c:pt>
                <c:pt idx="212">
                  <c:v>-1.2267161725823497E-2</c:v>
                </c:pt>
                <c:pt idx="213">
                  <c:v>-1.2250244025719802E-2</c:v>
                </c:pt>
                <c:pt idx="214">
                  <c:v>-1.2282424241744598E-2</c:v>
                </c:pt>
                <c:pt idx="215">
                  <c:v>-1.2261450981030399E-2</c:v>
                </c:pt>
                <c:pt idx="216">
                  <c:v>-1.2274886579643899E-2</c:v>
                </c:pt>
                <c:pt idx="217">
                  <c:v>-1.2255206485330496E-2</c:v>
                </c:pt>
                <c:pt idx="218">
                  <c:v>-1.2265584428675902E-2</c:v>
                </c:pt>
                <c:pt idx="219">
                  <c:v>-1.2284549441774199E-2</c:v>
                </c:pt>
                <c:pt idx="220">
                  <c:v>-1.2269347937701201E-2</c:v>
                </c:pt>
                <c:pt idx="221">
                  <c:v>-1.2275985594308101E-2</c:v>
                </c:pt>
                <c:pt idx="222">
                  <c:v>-1.2291294878418301E-2</c:v>
                </c:pt>
                <c:pt idx="223">
                  <c:v>-1.22928502471498E-2</c:v>
                </c:pt>
                <c:pt idx="224">
                  <c:v>-1.2278528236177399E-2</c:v>
                </c:pt>
                <c:pt idx="225">
                  <c:v>-1.2306806340546301E-2</c:v>
                </c:pt>
                <c:pt idx="226">
                  <c:v>-1.2317273070707801E-2</c:v>
                </c:pt>
                <c:pt idx="227">
                  <c:v>-1.2288273389404801E-2</c:v>
                </c:pt>
                <c:pt idx="228">
                  <c:v>-1.2310578567818101E-2</c:v>
                </c:pt>
                <c:pt idx="229">
                  <c:v>-1.2318941815803199E-2</c:v>
                </c:pt>
                <c:pt idx="230">
                  <c:v>-1.23199997110921E-2</c:v>
                </c:pt>
                <c:pt idx="231">
                  <c:v>-1.2312164192671402E-2</c:v>
                </c:pt>
                <c:pt idx="232">
                  <c:v>-1.23047007849857E-2</c:v>
                </c:pt>
                <c:pt idx="233">
                  <c:v>-1.2288032687365901E-2</c:v>
                </c:pt>
                <c:pt idx="234">
                  <c:v>-1.2311392982829199E-2</c:v>
                </c:pt>
                <c:pt idx="235">
                  <c:v>-1.2287693499976602E-2</c:v>
                </c:pt>
                <c:pt idx="236">
                  <c:v>-1.2306914671326198E-2</c:v>
                </c:pt>
                <c:pt idx="237">
                  <c:v>-1.2295132381520701E-2</c:v>
                </c:pt>
                <c:pt idx="238">
                  <c:v>-1.2293316675790701E-2</c:v>
                </c:pt>
                <c:pt idx="239">
                  <c:v>-1.2299938915170401E-2</c:v>
                </c:pt>
                <c:pt idx="240">
                  <c:v>-1.2289952862023799E-2</c:v>
                </c:pt>
                <c:pt idx="241">
                  <c:v>-1.2273608998884897E-2</c:v>
                </c:pt>
                <c:pt idx="242">
                  <c:v>-1.22901013714801E-2</c:v>
                </c:pt>
                <c:pt idx="243">
                  <c:v>-1.2303672034259101E-2</c:v>
                </c:pt>
                <c:pt idx="244">
                  <c:v>-1.22919298588537E-2</c:v>
                </c:pt>
                <c:pt idx="245">
                  <c:v>-1.2297632200801697E-2</c:v>
                </c:pt>
                <c:pt idx="246">
                  <c:v>-1.22886166436608E-2</c:v>
                </c:pt>
                <c:pt idx="247">
                  <c:v>-1.2285554238877901E-2</c:v>
                </c:pt>
                <c:pt idx="248">
                  <c:v>-1.22941830556963E-2</c:v>
                </c:pt>
                <c:pt idx="249">
                  <c:v>-1.2295229299321102E-2</c:v>
                </c:pt>
                <c:pt idx="250">
                  <c:v>-1.2280403358383598E-2</c:v>
                </c:pt>
                <c:pt idx="251">
                  <c:v>-1.22924207211007E-2</c:v>
                </c:pt>
                <c:pt idx="252">
                  <c:v>-1.2292331192833102E-2</c:v>
                </c:pt>
                <c:pt idx="253">
                  <c:v>-1.22974029273062E-2</c:v>
                </c:pt>
                <c:pt idx="254">
                  <c:v>-1.2299625256457799E-2</c:v>
                </c:pt>
                <c:pt idx="255">
                  <c:v>-1.2279390552493299E-2</c:v>
                </c:pt>
                <c:pt idx="256">
                  <c:v>-1.23021308751751E-2</c:v>
                </c:pt>
                <c:pt idx="257">
                  <c:v>-1.2289209777530898E-2</c:v>
                </c:pt>
                <c:pt idx="258">
                  <c:v>-1.2288285569492798E-2</c:v>
                </c:pt>
                <c:pt idx="259">
                  <c:v>-1.2304322529766099E-2</c:v>
                </c:pt>
                <c:pt idx="260">
                  <c:v>-1.2279477919350501E-2</c:v>
                </c:pt>
                <c:pt idx="261">
                  <c:v>-1.22815019371362E-2</c:v>
                </c:pt>
                <c:pt idx="262">
                  <c:v>-1.23126234469642E-2</c:v>
                </c:pt>
                <c:pt idx="263">
                  <c:v>-1.22731911054788E-2</c:v>
                </c:pt>
                <c:pt idx="264">
                  <c:v>-1.2296246741446899E-2</c:v>
                </c:pt>
                <c:pt idx="265">
                  <c:v>-1.2274938219879399E-2</c:v>
                </c:pt>
                <c:pt idx="266">
                  <c:v>-1.2284892235265202E-2</c:v>
                </c:pt>
                <c:pt idx="267">
                  <c:v>-1.22694326640623E-2</c:v>
                </c:pt>
                <c:pt idx="268">
                  <c:v>-1.2285292761113E-2</c:v>
                </c:pt>
                <c:pt idx="269">
                  <c:v>-1.2284254268182899E-2</c:v>
                </c:pt>
                <c:pt idx="270">
                  <c:v>-1.2281913668676101E-2</c:v>
                </c:pt>
                <c:pt idx="271">
                  <c:v>-1.2285180165482398E-2</c:v>
                </c:pt>
                <c:pt idx="272">
                  <c:v>-1.2277944690804E-2</c:v>
                </c:pt>
                <c:pt idx="273">
                  <c:v>-1.2284031726489002E-2</c:v>
                </c:pt>
                <c:pt idx="274">
                  <c:v>-1.2262910711343502E-2</c:v>
                </c:pt>
                <c:pt idx="275">
                  <c:v>-1.2262073404906301E-2</c:v>
                </c:pt>
                <c:pt idx="276">
                  <c:v>-1.2269275322841201E-2</c:v>
                </c:pt>
                <c:pt idx="277">
                  <c:v>-1.22460190166383E-2</c:v>
                </c:pt>
                <c:pt idx="278">
                  <c:v>-1.2271110335362399E-2</c:v>
                </c:pt>
                <c:pt idx="279">
                  <c:v>-1.22775895983005E-2</c:v>
                </c:pt>
                <c:pt idx="280">
                  <c:v>-1.22425859611842E-2</c:v>
                </c:pt>
                <c:pt idx="281">
                  <c:v>-1.2245721053778899E-2</c:v>
                </c:pt>
                <c:pt idx="282">
                  <c:v>-1.2232237219236998E-2</c:v>
                </c:pt>
                <c:pt idx="283">
                  <c:v>-1.222247086519E-2</c:v>
                </c:pt>
                <c:pt idx="284">
                  <c:v>-1.2247150486377699E-2</c:v>
                </c:pt>
                <c:pt idx="285">
                  <c:v>-1.2254909813133499E-2</c:v>
                </c:pt>
                <c:pt idx="286">
                  <c:v>-1.2251783667363601E-2</c:v>
                </c:pt>
                <c:pt idx="287">
                  <c:v>-1.22699756853545E-2</c:v>
                </c:pt>
                <c:pt idx="288">
                  <c:v>-1.2243434368412E-2</c:v>
                </c:pt>
                <c:pt idx="289">
                  <c:v>-1.22463776180055E-2</c:v>
                </c:pt>
                <c:pt idx="290">
                  <c:v>-1.22199562248068E-2</c:v>
                </c:pt>
                <c:pt idx="291">
                  <c:v>-1.2232772380472301E-2</c:v>
                </c:pt>
                <c:pt idx="292">
                  <c:v>-1.2217222935910696E-2</c:v>
                </c:pt>
                <c:pt idx="293">
                  <c:v>-1.22432529490376E-2</c:v>
                </c:pt>
                <c:pt idx="294">
                  <c:v>-1.2260094003287401E-2</c:v>
                </c:pt>
                <c:pt idx="295">
                  <c:v>-1.2234373569865E-2</c:v>
                </c:pt>
                <c:pt idx="296">
                  <c:v>-1.2246705913761299E-2</c:v>
                </c:pt>
                <c:pt idx="297">
                  <c:v>-1.2248045077203505E-2</c:v>
                </c:pt>
                <c:pt idx="298">
                  <c:v>-1.22412068048079E-2</c:v>
                </c:pt>
                <c:pt idx="299">
                  <c:v>-1.2227804864749501E-2</c:v>
                </c:pt>
                <c:pt idx="300">
                  <c:v>-1.2246253669185699E-2</c:v>
                </c:pt>
                <c:pt idx="301">
                  <c:v>-1.22539217343842E-2</c:v>
                </c:pt>
                <c:pt idx="302">
                  <c:v>-1.2268467022881001E-2</c:v>
                </c:pt>
                <c:pt idx="303">
                  <c:v>-1.2241110376284002E-2</c:v>
                </c:pt>
                <c:pt idx="304">
                  <c:v>-1.2260706711031801E-2</c:v>
                </c:pt>
                <c:pt idx="305">
                  <c:v>-1.22454893949819E-2</c:v>
                </c:pt>
                <c:pt idx="306">
                  <c:v>-1.2217997300443302E-2</c:v>
                </c:pt>
                <c:pt idx="307">
                  <c:v>-1.2261154785046899E-2</c:v>
                </c:pt>
                <c:pt idx="308">
                  <c:v>-1.22349017102372E-2</c:v>
                </c:pt>
                <c:pt idx="309">
                  <c:v>-1.22552047063662E-2</c:v>
                </c:pt>
                <c:pt idx="310">
                  <c:v>-1.2247248627465101E-2</c:v>
                </c:pt>
                <c:pt idx="311">
                  <c:v>-1.2246599136265099E-2</c:v>
                </c:pt>
                <c:pt idx="312">
                  <c:v>-1.2265464708112302E-2</c:v>
                </c:pt>
                <c:pt idx="313">
                  <c:v>-1.2240210792125101E-2</c:v>
                </c:pt>
                <c:pt idx="314">
                  <c:v>-1.22424821044484E-2</c:v>
                </c:pt>
                <c:pt idx="315">
                  <c:v>-1.22275725496548E-2</c:v>
                </c:pt>
                <c:pt idx="316">
                  <c:v>-1.2243094351099602E-2</c:v>
                </c:pt>
                <c:pt idx="317">
                  <c:v>-1.22534492960093E-2</c:v>
                </c:pt>
                <c:pt idx="318">
                  <c:v>-1.2242555160622899E-2</c:v>
                </c:pt>
                <c:pt idx="319">
                  <c:v>-1.22481721076141E-2</c:v>
                </c:pt>
                <c:pt idx="320">
                  <c:v>-1.2216383545467599E-2</c:v>
                </c:pt>
                <c:pt idx="321">
                  <c:v>-1.2242523759845301E-2</c:v>
                </c:pt>
                <c:pt idx="322">
                  <c:v>-1.2235231746627799E-2</c:v>
                </c:pt>
                <c:pt idx="323">
                  <c:v>-1.2243606384205998E-2</c:v>
                </c:pt>
                <c:pt idx="324">
                  <c:v>-1.2228608945467401E-2</c:v>
                </c:pt>
                <c:pt idx="325">
                  <c:v>-1.2251738918830302E-2</c:v>
                </c:pt>
                <c:pt idx="326">
                  <c:v>-1.2241231262178701E-2</c:v>
                </c:pt>
                <c:pt idx="327">
                  <c:v>-1.2259868354601203E-2</c:v>
                </c:pt>
                <c:pt idx="328">
                  <c:v>-1.2234135905387503E-2</c:v>
                </c:pt>
                <c:pt idx="329">
                  <c:v>-1.22821721681364E-2</c:v>
                </c:pt>
                <c:pt idx="330">
                  <c:v>-1.2285639286121898E-2</c:v>
                </c:pt>
                <c:pt idx="331">
                  <c:v>-1.2245459768722503E-2</c:v>
                </c:pt>
                <c:pt idx="332">
                  <c:v>-1.2229743050231799E-2</c:v>
                </c:pt>
                <c:pt idx="333">
                  <c:v>-1.22744716554034E-2</c:v>
                </c:pt>
                <c:pt idx="334">
                  <c:v>-1.2276279040140302E-2</c:v>
                </c:pt>
                <c:pt idx="335">
                  <c:v>-1.2300086619375801E-2</c:v>
                </c:pt>
                <c:pt idx="336">
                  <c:v>-1.2267281719192001E-2</c:v>
                </c:pt>
                <c:pt idx="337">
                  <c:v>-1.22460608479001E-2</c:v>
                </c:pt>
                <c:pt idx="338">
                  <c:v>-1.2255717678003901E-2</c:v>
                </c:pt>
                <c:pt idx="339">
                  <c:v>-1.22706125997005E-2</c:v>
                </c:pt>
                <c:pt idx="340">
                  <c:v>-1.2272566830677498E-2</c:v>
                </c:pt>
                <c:pt idx="341">
                  <c:v>-1.22872342974305E-2</c:v>
                </c:pt>
                <c:pt idx="342">
                  <c:v>-1.2283480829306999E-2</c:v>
                </c:pt>
                <c:pt idx="343">
                  <c:v>-1.2289430432975101E-2</c:v>
                </c:pt>
                <c:pt idx="344">
                  <c:v>-1.23216998132332E-2</c:v>
                </c:pt>
                <c:pt idx="345">
                  <c:v>-1.2306531366792299E-2</c:v>
                </c:pt>
                <c:pt idx="346">
                  <c:v>-1.23036547984399E-2</c:v>
                </c:pt>
                <c:pt idx="347">
                  <c:v>-1.22961631957458E-2</c:v>
                </c:pt>
                <c:pt idx="348">
                  <c:v>-1.2306003989615299E-2</c:v>
                </c:pt>
                <c:pt idx="349">
                  <c:v>-1.23189029346885E-2</c:v>
                </c:pt>
                <c:pt idx="350">
                  <c:v>-1.23199537250007E-2</c:v>
                </c:pt>
                <c:pt idx="351">
                  <c:v>-1.2326410672587901E-2</c:v>
                </c:pt>
                <c:pt idx="352">
                  <c:v>-1.2329767274077898E-2</c:v>
                </c:pt>
                <c:pt idx="353">
                  <c:v>-1.2369175041468101E-2</c:v>
                </c:pt>
                <c:pt idx="354">
                  <c:v>-1.2377427878904898E-2</c:v>
                </c:pt>
                <c:pt idx="355">
                  <c:v>-1.23766788267669E-2</c:v>
                </c:pt>
                <c:pt idx="356">
                  <c:v>-1.2354079536680303E-2</c:v>
                </c:pt>
                <c:pt idx="357">
                  <c:v>-1.2356652153259101E-2</c:v>
                </c:pt>
                <c:pt idx="358">
                  <c:v>-1.2355490735728801E-2</c:v>
                </c:pt>
                <c:pt idx="359">
                  <c:v>-1.24096465551931E-2</c:v>
                </c:pt>
                <c:pt idx="360">
                  <c:v>-1.2368435095003001E-2</c:v>
                </c:pt>
                <c:pt idx="361">
                  <c:v>-1.2355869956364098E-2</c:v>
                </c:pt>
                <c:pt idx="362">
                  <c:v>-1.2368746287464301E-2</c:v>
                </c:pt>
                <c:pt idx="363">
                  <c:v>-1.2409705102889201E-2</c:v>
                </c:pt>
                <c:pt idx="364">
                  <c:v>-1.24178010950283E-2</c:v>
                </c:pt>
                <c:pt idx="365">
                  <c:v>-1.23982640332858E-2</c:v>
                </c:pt>
                <c:pt idx="366">
                  <c:v>-1.2435101307331999E-2</c:v>
                </c:pt>
                <c:pt idx="367">
                  <c:v>-1.24356959032357E-2</c:v>
                </c:pt>
                <c:pt idx="368">
                  <c:v>-1.2422500899910703E-2</c:v>
                </c:pt>
                <c:pt idx="369">
                  <c:v>-1.24036832583124E-2</c:v>
                </c:pt>
                <c:pt idx="370">
                  <c:v>-1.24273481090363E-2</c:v>
                </c:pt>
                <c:pt idx="371">
                  <c:v>-1.2442080645604002E-2</c:v>
                </c:pt>
                <c:pt idx="372">
                  <c:v>-1.2462329809220201E-2</c:v>
                </c:pt>
                <c:pt idx="373">
                  <c:v>-1.24787764316666E-2</c:v>
                </c:pt>
                <c:pt idx="374">
                  <c:v>-1.2506733490425298E-2</c:v>
                </c:pt>
                <c:pt idx="375">
                  <c:v>-1.2498278690909297E-2</c:v>
                </c:pt>
                <c:pt idx="376">
                  <c:v>-1.25247927034684E-2</c:v>
                </c:pt>
                <c:pt idx="377">
                  <c:v>-1.2494244446609799E-2</c:v>
                </c:pt>
                <c:pt idx="378">
                  <c:v>-1.25320415360318E-2</c:v>
                </c:pt>
                <c:pt idx="379">
                  <c:v>-1.25194858031104E-2</c:v>
                </c:pt>
                <c:pt idx="380">
                  <c:v>-1.25490645207872E-2</c:v>
                </c:pt>
                <c:pt idx="381">
                  <c:v>-1.2573839702696498E-2</c:v>
                </c:pt>
                <c:pt idx="382">
                  <c:v>-1.2593415698962702E-2</c:v>
                </c:pt>
                <c:pt idx="383">
                  <c:v>-1.26047517167856E-2</c:v>
                </c:pt>
                <c:pt idx="384">
                  <c:v>-1.25629429402902E-2</c:v>
                </c:pt>
                <c:pt idx="385">
                  <c:v>-1.2642010976604201E-2</c:v>
                </c:pt>
                <c:pt idx="386">
                  <c:v>-1.26514397365869E-2</c:v>
                </c:pt>
                <c:pt idx="387">
                  <c:v>-1.2692170273238402E-2</c:v>
                </c:pt>
                <c:pt idx="388">
                  <c:v>-1.26578826987114E-2</c:v>
                </c:pt>
                <c:pt idx="389">
                  <c:v>-1.2704097686695002E-2</c:v>
                </c:pt>
                <c:pt idx="390">
                  <c:v>-1.2693542931926198E-2</c:v>
                </c:pt>
                <c:pt idx="391">
                  <c:v>-1.2718003163131699E-2</c:v>
                </c:pt>
                <c:pt idx="392">
                  <c:v>-1.2767567064592001E-2</c:v>
                </c:pt>
                <c:pt idx="393">
                  <c:v>-1.2751089977773499E-2</c:v>
                </c:pt>
                <c:pt idx="394">
                  <c:v>-1.2732081549365802E-2</c:v>
                </c:pt>
                <c:pt idx="395">
                  <c:v>-1.2776285596638499E-2</c:v>
                </c:pt>
                <c:pt idx="396">
                  <c:v>-1.2836557106939896E-2</c:v>
                </c:pt>
                <c:pt idx="397">
                  <c:v>-1.2809471521481599E-2</c:v>
                </c:pt>
                <c:pt idx="398">
                  <c:v>-1.2870720285638002E-2</c:v>
                </c:pt>
                <c:pt idx="399">
                  <c:v>-1.2800686910934602E-2</c:v>
                </c:pt>
                <c:pt idx="400">
                  <c:v>-1.2927596598412696E-2</c:v>
                </c:pt>
                <c:pt idx="401">
                  <c:v>-1.2849703065665099E-2</c:v>
                </c:pt>
                <c:pt idx="402">
                  <c:v>-1.2905643283673697E-2</c:v>
                </c:pt>
                <c:pt idx="403">
                  <c:v>-1.2289218900549702E-2</c:v>
                </c:pt>
                <c:pt idx="404">
                  <c:v>-1.2290716865953601E-2</c:v>
                </c:pt>
                <c:pt idx="405">
                  <c:v>-1.22760204569098E-2</c:v>
                </c:pt>
                <c:pt idx="406">
                  <c:v>-1.2270138593477399E-2</c:v>
                </c:pt>
                <c:pt idx="407">
                  <c:v>-1.22718974831894E-2</c:v>
                </c:pt>
                <c:pt idx="408">
                  <c:v>-1.2281271430766698E-2</c:v>
                </c:pt>
                <c:pt idx="409">
                  <c:v>-1.22713443255376E-2</c:v>
                </c:pt>
                <c:pt idx="410">
                  <c:v>-1.2296713722082998E-2</c:v>
                </c:pt>
                <c:pt idx="411">
                  <c:v>-1.2291498658711099E-2</c:v>
                </c:pt>
                <c:pt idx="412">
                  <c:v>-1.2282992768650702E-2</c:v>
                </c:pt>
                <c:pt idx="413">
                  <c:v>-1.2301545036977099E-2</c:v>
                </c:pt>
                <c:pt idx="414">
                  <c:v>-1.22997599837568E-2</c:v>
                </c:pt>
                <c:pt idx="415">
                  <c:v>-1.2291803636410701E-2</c:v>
                </c:pt>
                <c:pt idx="416">
                  <c:v>-1.2326280862025698E-2</c:v>
                </c:pt>
                <c:pt idx="417">
                  <c:v>-1.2334855483792899E-2</c:v>
                </c:pt>
                <c:pt idx="418">
                  <c:v>-1.2317979645435103E-2</c:v>
                </c:pt>
                <c:pt idx="419">
                  <c:v>-1.2331510308480099E-2</c:v>
                </c:pt>
                <c:pt idx="420">
                  <c:v>-1.23419723104742E-2</c:v>
                </c:pt>
                <c:pt idx="421">
                  <c:v>-1.2399235920678799E-2</c:v>
                </c:pt>
                <c:pt idx="422">
                  <c:v>-1.2390431166398199E-2</c:v>
                </c:pt>
                <c:pt idx="423">
                  <c:v>-1.2350245820266099E-2</c:v>
                </c:pt>
                <c:pt idx="424">
                  <c:v>-1.2395015270619401E-2</c:v>
                </c:pt>
                <c:pt idx="425">
                  <c:v>-1.24413116019126E-2</c:v>
                </c:pt>
                <c:pt idx="426">
                  <c:v>-1.24535963525974E-2</c:v>
                </c:pt>
                <c:pt idx="427">
                  <c:v>-1.2422481598056499E-2</c:v>
                </c:pt>
                <c:pt idx="428">
                  <c:v>-1.2477021780515699E-2</c:v>
                </c:pt>
                <c:pt idx="429">
                  <c:v>-1.2494332838241799E-2</c:v>
                </c:pt>
                <c:pt idx="430">
                  <c:v>-1.2471065673575201E-2</c:v>
                </c:pt>
                <c:pt idx="431">
                  <c:v>-1.2511164732575998E-2</c:v>
                </c:pt>
                <c:pt idx="432">
                  <c:v>-1.25526757236299E-2</c:v>
                </c:pt>
                <c:pt idx="433">
                  <c:v>-1.2488813048769401E-2</c:v>
                </c:pt>
                <c:pt idx="434">
                  <c:v>-1.2519417358673002E-2</c:v>
                </c:pt>
                <c:pt idx="435">
                  <c:v>-1.2482839358977602E-2</c:v>
                </c:pt>
                <c:pt idx="436">
                  <c:v>-1.2547604814104196E-2</c:v>
                </c:pt>
                <c:pt idx="437">
                  <c:v>-1.2578736468968598E-2</c:v>
                </c:pt>
                <c:pt idx="438">
                  <c:v>-1.2643904914563998E-2</c:v>
                </c:pt>
                <c:pt idx="439">
                  <c:v>-1.2619894461753999E-2</c:v>
                </c:pt>
                <c:pt idx="440">
                  <c:v>-1.26660898364811E-2</c:v>
                </c:pt>
                <c:pt idx="441">
                  <c:v>-1.2688168622411901E-2</c:v>
                </c:pt>
                <c:pt idx="442">
                  <c:v>-1.26439293261882E-2</c:v>
                </c:pt>
                <c:pt idx="443">
                  <c:v>-1.26126751345048E-2</c:v>
                </c:pt>
                <c:pt idx="444">
                  <c:v>-1.2761107151394103E-2</c:v>
                </c:pt>
                <c:pt idx="445">
                  <c:v>-1.2759116516331602E-2</c:v>
                </c:pt>
                <c:pt idx="446">
                  <c:v>-1.2745373383867503E-2</c:v>
                </c:pt>
                <c:pt idx="447">
                  <c:v>-1.27497132071815E-2</c:v>
                </c:pt>
                <c:pt idx="448">
                  <c:v>-1.2756924730131E-2</c:v>
                </c:pt>
                <c:pt idx="449">
                  <c:v>-1.2819657253783699E-2</c:v>
                </c:pt>
                <c:pt idx="450">
                  <c:v>-1.2834936060651001E-2</c:v>
                </c:pt>
                <c:pt idx="451">
                  <c:v>-1.2794075007986799E-2</c:v>
                </c:pt>
                <c:pt idx="452">
                  <c:v>-1.2835947210946896E-2</c:v>
                </c:pt>
                <c:pt idx="453">
                  <c:v>-1.28410963098636E-2</c:v>
                </c:pt>
                <c:pt idx="454">
                  <c:v>-1.2834532249334306E-2</c:v>
                </c:pt>
                <c:pt idx="455">
                  <c:v>-1.28263305045656E-2</c:v>
                </c:pt>
                <c:pt idx="456">
                  <c:v>-1.2890573188924601E-2</c:v>
                </c:pt>
                <c:pt idx="457">
                  <c:v>-1.2865365619658899E-2</c:v>
                </c:pt>
                <c:pt idx="458">
                  <c:v>-1.29752620713557E-2</c:v>
                </c:pt>
                <c:pt idx="459">
                  <c:v>-1.3192056325507701E-2</c:v>
                </c:pt>
                <c:pt idx="460">
                  <c:v>-1.3077443132766304E-2</c:v>
                </c:pt>
                <c:pt idx="461">
                  <c:v>-1.3095510729587801E-2</c:v>
                </c:pt>
                <c:pt idx="462">
                  <c:v>-1.3165399422419299E-2</c:v>
                </c:pt>
                <c:pt idx="463">
                  <c:v>-1.3223667061176201E-2</c:v>
                </c:pt>
                <c:pt idx="464">
                  <c:v>-1.3207126056296301E-2</c:v>
                </c:pt>
                <c:pt idx="465">
                  <c:v>-1.3214241378251701E-2</c:v>
                </c:pt>
                <c:pt idx="466">
                  <c:v>-1.3286667755696202E-2</c:v>
                </c:pt>
                <c:pt idx="467">
                  <c:v>-1.3328071337893399E-2</c:v>
                </c:pt>
                <c:pt idx="468">
                  <c:v>-1.3337353084806498E-2</c:v>
                </c:pt>
                <c:pt idx="469">
                  <c:v>-1.33751654587732E-2</c:v>
                </c:pt>
                <c:pt idx="470">
                  <c:v>-1.3471935251277201E-2</c:v>
                </c:pt>
                <c:pt idx="471">
                  <c:v>-1.3469805314983898E-2</c:v>
                </c:pt>
                <c:pt idx="472">
                  <c:v>-1.3535901236574199E-2</c:v>
                </c:pt>
                <c:pt idx="473">
                  <c:v>-1.37446070919918E-2</c:v>
                </c:pt>
                <c:pt idx="474">
                  <c:v>-1.3663768444009898E-2</c:v>
                </c:pt>
                <c:pt idx="475">
                  <c:v>-1.37400286077063E-2</c:v>
                </c:pt>
                <c:pt idx="476">
                  <c:v>-1.3579401358850402E-2</c:v>
                </c:pt>
                <c:pt idx="477">
                  <c:v>-1.36684301376916E-2</c:v>
                </c:pt>
                <c:pt idx="478">
                  <c:v>-1.3922818627933899E-2</c:v>
                </c:pt>
                <c:pt idx="479">
                  <c:v>-1.3728043192864404E-2</c:v>
                </c:pt>
                <c:pt idx="480">
                  <c:v>-1.3814673966695699E-2</c:v>
                </c:pt>
                <c:pt idx="481">
                  <c:v>-1.3861204830421301E-2</c:v>
                </c:pt>
                <c:pt idx="482">
                  <c:v>-1.3945097954120602E-2</c:v>
                </c:pt>
                <c:pt idx="483">
                  <c:v>-1.4131807894702799E-2</c:v>
                </c:pt>
                <c:pt idx="484">
                  <c:v>-1.4158164126746304E-2</c:v>
                </c:pt>
                <c:pt idx="485">
                  <c:v>-1.4233950459171096E-2</c:v>
                </c:pt>
                <c:pt idx="486">
                  <c:v>-1.4287155436229802E-2</c:v>
                </c:pt>
                <c:pt idx="487">
                  <c:v>-1.4346333849947501E-2</c:v>
                </c:pt>
                <c:pt idx="488">
                  <c:v>-1.4432220675137997E-2</c:v>
                </c:pt>
                <c:pt idx="489">
                  <c:v>-1.44929089801466E-2</c:v>
                </c:pt>
                <c:pt idx="490">
                  <c:v>-1.45714625440303E-2</c:v>
                </c:pt>
                <c:pt idx="491">
                  <c:v>-1.4651974344307397E-2</c:v>
                </c:pt>
                <c:pt idx="492">
                  <c:v>-1.4814719551737798E-2</c:v>
                </c:pt>
                <c:pt idx="493">
                  <c:v>-1.4737310808753601E-2</c:v>
                </c:pt>
                <c:pt idx="494">
                  <c:v>-1.4978408506152998E-2</c:v>
                </c:pt>
                <c:pt idx="495">
                  <c:v>-1.4927382538381901E-2</c:v>
                </c:pt>
                <c:pt idx="496">
                  <c:v>-1.48894061912964E-2</c:v>
                </c:pt>
                <c:pt idx="497">
                  <c:v>-1.4998568454123501E-2</c:v>
                </c:pt>
                <c:pt idx="498">
                  <c:v>-1.5066021897101999E-2</c:v>
                </c:pt>
                <c:pt idx="499">
                  <c:v>-1.52487978602388E-2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2-B56A-4A25-B6E9-47167997A94B}"/>
            </c:ext>
          </c:extLst>
        </c:ser>
        <c:ser>
          <c:idx val="3"/>
          <c:order val="3"/>
          <c:tx>
            <c:v>CH2 (IN)</c:v>
          </c:tx>
          <c:spPr>
            <a:ln w="19050">
              <a:solidFill>
                <a:srgbClr val="8064A2"/>
              </a:solidFill>
            </a:ln>
          </c:spPr>
          <c:marker>
            <c:symbol val="circle"/>
            <c:size val="5"/>
            <c:spPr>
              <a:solidFill>
                <a:srgbClr val="8064A2"/>
              </a:solidFill>
              <a:ln>
                <a:solidFill>
                  <a:srgbClr val="8064A2"/>
                </a:solidFill>
              </a:ln>
            </c:spPr>
          </c:marker>
          <c:xVal>
            <c:numRef>
              <c:f>'GAIN vs FREQ'!$I$5:$I$504</c:f>
              <c:numCache>
                <c:formatCode>#,##0</c:formatCode>
                <c:ptCount val="500"/>
                <c:pt idx="0" formatCode="General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 formatCode="General">
                  <c:v>20</c:v>
                </c:pt>
              </c:numCache>
            </c:numRef>
          </c:xVal>
          <c:yVal>
            <c:numRef>
              <c:f>'GAIN vs FREQ'!$J$5:$J$504</c:f>
              <c:numCache>
                <c:formatCode>General</c:formatCode>
                <c:ptCount val="500"/>
                <c:pt idx="0">
                  <c:v>-5.50685473966571E-3</c:v>
                </c:pt>
                <c:pt idx="1">
                  <c:v>-5.4900641642323398E-3</c:v>
                </c:pt>
                <c:pt idx="2">
                  <c:v>-5.4356819022863996E-3</c:v>
                </c:pt>
                <c:pt idx="3">
                  <c:v>-5.3530749480029888E-3</c:v>
                </c:pt>
                <c:pt idx="4">
                  <c:v>-5.2986925110912802E-3</c:v>
                </c:pt>
                <c:pt idx="5">
                  <c:v>-5.229769564644899E-3</c:v>
                </c:pt>
                <c:pt idx="6">
                  <c:v>-5.1789091418736003E-3</c:v>
                </c:pt>
                <c:pt idx="7">
                  <c:v>-5.1464537031574711E-3</c:v>
                </c:pt>
                <c:pt idx="8">
                  <c:v>-5.0626904386766808E-3</c:v>
                </c:pt>
                <c:pt idx="9">
                  <c:v>-5.0455427824424E-3</c:v>
                </c:pt>
                <c:pt idx="10">
                  <c:v>-5.0294743239230003E-3</c:v>
                </c:pt>
                <c:pt idx="11">
                  <c:v>-5.0251871805221488E-3</c:v>
                </c:pt>
                <c:pt idx="12">
                  <c:v>-5.002367521063901E-3</c:v>
                </c:pt>
                <c:pt idx="13">
                  <c:v>-5.0194177458759807E-3</c:v>
                </c:pt>
                <c:pt idx="14">
                  <c:v>-5.0294286687918499E-3</c:v>
                </c:pt>
                <c:pt idx="15">
                  <c:v>-5.0617009211776712E-3</c:v>
                </c:pt>
                <c:pt idx="16">
                  <c:v>-5.1059717600900612E-3</c:v>
                </c:pt>
                <c:pt idx="17">
                  <c:v>-5.1553142867508221E-3</c:v>
                </c:pt>
                <c:pt idx="18">
                  <c:v>-5.2177642896193985E-3</c:v>
                </c:pt>
                <c:pt idx="19">
                  <c:v>-5.2965157250670098E-3</c:v>
                </c:pt>
                <c:pt idx="20">
                  <c:v>-5.3694573693120889E-3</c:v>
                </c:pt>
                <c:pt idx="21">
                  <c:v>-5.4527845730100999E-3</c:v>
                </c:pt>
                <c:pt idx="22">
                  <c:v>-5.5698693512909519E-3</c:v>
                </c:pt>
                <c:pt idx="23">
                  <c:v>-5.6530646367059208E-3</c:v>
                </c:pt>
                <c:pt idx="24">
                  <c:v>-5.7864546427780199E-3</c:v>
                </c:pt>
                <c:pt idx="25">
                  <c:v>-5.8423746158648288E-3</c:v>
                </c:pt>
                <c:pt idx="26">
                  <c:v>-5.971626777412818E-3</c:v>
                </c:pt>
                <c:pt idx="27">
                  <c:v>-6.0599736943074993E-3</c:v>
                </c:pt>
                <c:pt idx="28">
                  <c:v>-6.1880043098358787E-3</c:v>
                </c:pt>
                <c:pt idx="29">
                  <c:v>-6.2800773097207198E-3</c:v>
                </c:pt>
                <c:pt idx="30">
                  <c:v>-6.3734036233876502E-3</c:v>
                </c:pt>
                <c:pt idx="31">
                  <c:v>-6.4628946072587011E-3</c:v>
                </c:pt>
                <c:pt idx="32">
                  <c:v>-6.5456868481299597E-3</c:v>
                </c:pt>
                <c:pt idx="33">
                  <c:v>-6.6357145813004201E-3</c:v>
                </c:pt>
                <c:pt idx="34">
                  <c:v>-6.7172252476251203E-3</c:v>
                </c:pt>
                <c:pt idx="35">
                  <c:v>-6.7884608487035593E-3</c:v>
                </c:pt>
                <c:pt idx="36">
                  <c:v>-6.8724163562731292E-3</c:v>
                </c:pt>
                <c:pt idx="37">
                  <c:v>-6.9469260110742006E-3</c:v>
                </c:pt>
                <c:pt idx="38">
                  <c:v>-6.9923762339472182E-3</c:v>
                </c:pt>
                <c:pt idx="39">
                  <c:v>-7.0504601540406098E-3</c:v>
                </c:pt>
                <c:pt idx="40">
                  <c:v>-7.0939197138765999E-3</c:v>
                </c:pt>
                <c:pt idx="41">
                  <c:v>-7.1546669088861491E-3</c:v>
                </c:pt>
                <c:pt idx="42">
                  <c:v>-7.165694436334258E-3</c:v>
                </c:pt>
                <c:pt idx="43">
                  <c:v>-7.1929602671229002E-3</c:v>
                </c:pt>
                <c:pt idx="44">
                  <c:v>-7.235017715142328E-3</c:v>
                </c:pt>
                <c:pt idx="45">
                  <c:v>-7.2600702774268788E-3</c:v>
                </c:pt>
                <c:pt idx="46">
                  <c:v>-7.2721300651953803E-3</c:v>
                </c:pt>
                <c:pt idx="47">
                  <c:v>-7.2701082521365399E-3</c:v>
                </c:pt>
                <c:pt idx="48">
                  <c:v>-7.2703242518790288E-3</c:v>
                </c:pt>
                <c:pt idx="49">
                  <c:v>-7.2482496466879705E-3</c:v>
                </c:pt>
                <c:pt idx="50">
                  <c:v>-7.2552327807799298E-3</c:v>
                </c:pt>
                <c:pt idx="51">
                  <c:v>-7.2356763317881091E-3</c:v>
                </c:pt>
                <c:pt idx="52">
                  <c:v>-7.2329497437220404E-3</c:v>
                </c:pt>
                <c:pt idx="53">
                  <c:v>-7.1991907115241602E-3</c:v>
                </c:pt>
                <c:pt idx="54">
                  <c:v>-7.1881660882639302E-3</c:v>
                </c:pt>
                <c:pt idx="55">
                  <c:v>-7.1600170496422698E-3</c:v>
                </c:pt>
                <c:pt idx="56">
                  <c:v>-7.1302591811424785E-3</c:v>
                </c:pt>
                <c:pt idx="57">
                  <c:v>-7.1150372711258304E-3</c:v>
                </c:pt>
                <c:pt idx="58">
                  <c:v>-7.0729074004640905E-3</c:v>
                </c:pt>
                <c:pt idx="59">
                  <c:v>-7.0189638933664793E-3</c:v>
                </c:pt>
                <c:pt idx="60">
                  <c:v>-7.0018795195012197E-3</c:v>
                </c:pt>
                <c:pt idx="61">
                  <c:v>-6.9282807715768408E-3</c:v>
                </c:pt>
                <c:pt idx="62">
                  <c:v>-6.9108113005488204E-3</c:v>
                </c:pt>
                <c:pt idx="63">
                  <c:v>-6.8747666436552715E-3</c:v>
                </c:pt>
                <c:pt idx="64">
                  <c:v>-6.8324606972976895E-3</c:v>
                </c:pt>
                <c:pt idx="65">
                  <c:v>-6.7899161429110285E-3</c:v>
                </c:pt>
                <c:pt idx="66">
                  <c:v>-6.7592167381238964E-3</c:v>
                </c:pt>
                <c:pt idx="67">
                  <c:v>-6.7449460319208591E-3</c:v>
                </c:pt>
                <c:pt idx="68">
                  <c:v>-6.6967346579357486E-3</c:v>
                </c:pt>
                <c:pt idx="69">
                  <c:v>-6.6412743313852707E-3</c:v>
                </c:pt>
                <c:pt idx="70">
                  <c:v>-6.5752769828284199E-3</c:v>
                </c:pt>
                <c:pt idx="71">
                  <c:v>-6.5687176368237898E-3</c:v>
                </c:pt>
                <c:pt idx="72">
                  <c:v>-6.5367942541877883E-3</c:v>
                </c:pt>
                <c:pt idx="73">
                  <c:v>-6.4915219301322092E-3</c:v>
                </c:pt>
                <c:pt idx="74">
                  <c:v>-6.4516444216985002E-3</c:v>
                </c:pt>
                <c:pt idx="75">
                  <c:v>-6.433046183829649E-3</c:v>
                </c:pt>
                <c:pt idx="76">
                  <c:v>-6.4145725701315699E-3</c:v>
                </c:pt>
                <c:pt idx="77">
                  <c:v>-6.4002961916976801E-3</c:v>
                </c:pt>
                <c:pt idx="78">
                  <c:v>-6.3732122751942498E-3</c:v>
                </c:pt>
                <c:pt idx="79">
                  <c:v>-6.3419605405931403E-3</c:v>
                </c:pt>
                <c:pt idx="80">
                  <c:v>-6.3208431973644005E-3</c:v>
                </c:pt>
                <c:pt idx="81">
                  <c:v>-6.2785573463241895E-3</c:v>
                </c:pt>
                <c:pt idx="82">
                  <c:v>-6.2877534364060598E-3</c:v>
                </c:pt>
                <c:pt idx="83">
                  <c:v>-6.2565151820123E-3</c:v>
                </c:pt>
                <c:pt idx="84">
                  <c:v>-6.2574412262032097E-3</c:v>
                </c:pt>
                <c:pt idx="85">
                  <c:v>-6.239256622333828E-3</c:v>
                </c:pt>
                <c:pt idx="86">
                  <c:v>-6.2220440981768004E-3</c:v>
                </c:pt>
                <c:pt idx="87">
                  <c:v>-6.2211336191812803E-3</c:v>
                </c:pt>
                <c:pt idx="88">
                  <c:v>-6.1902358026916194E-3</c:v>
                </c:pt>
                <c:pt idx="89">
                  <c:v>-6.19172518296769E-3</c:v>
                </c:pt>
                <c:pt idx="90">
                  <c:v>-6.1902151086270013E-3</c:v>
                </c:pt>
                <c:pt idx="91">
                  <c:v>-6.1921844563171393E-3</c:v>
                </c:pt>
                <c:pt idx="92">
                  <c:v>-6.2308044696136097E-3</c:v>
                </c:pt>
                <c:pt idx="93">
                  <c:v>-6.2012388571924815E-3</c:v>
                </c:pt>
                <c:pt idx="94">
                  <c:v>-6.1965660187595396E-3</c:v>
                </c:pt>
                <c:pt idx="95">
                  <c:v>-6.1872014167901404E-3</c:v>
                </c:pt>
                <c:pt idx="96">
                  <c:v>-6.2158086105140696E-3</c:v>
                </c:pt>
                <c:pt idx="97">
                  <c:v>-6.2198402802601293E-3</c:v>
                </c:pt>
                <c:pt idx="98">
                  <c:v>-6.2268453943179489E-3</c:v>
                </c:pt>
                <c:pt idx="99">
                  <c:v>-6.2381224835978202E-3</c:v>
                </c:pt>
                <c:pt idx="100">
                  <c:v>-6.2136941356177996E-3</c:v>
                </c:pt>
                <c:pt idx="101">
                  <c:v>-6.21981407330768E-3</c:v>
                </c:pt>
                <c:pt idx="102">
                  <c:v>-6.2429205322999497E-3</c:v>
                </c:pt>
                <c:pt idx="103">
                  <c:v>-6.25179310324074E-3</c:v>
                </c:pt>
                <c:pt idx="104">
                  <c:v>-6.275226962943848E-3</c:v>
                </c:pt>
                <c:pt idx="105">
                  <c:v>-6.2829858098291504E-3</c:v>
                </c:pt>
                <c:pt idx="106">
                  <c:v>-6.2916278140534897E-3</c:v>
                </c:pt>
                <c:pt idx="107">
                  <c:v>-6.3011273651983309E-3</c:v>
                </c:pt>
                <c:pt idx="108">
                  <c:v>-6.3310064995348416E-3</c:v>
                </c:pt>
                <c:pt idx="109">
                  <c:v>-6.3321646989475087E-3</c:v>
                </c:pt>
                <c:pt idx="110">
                  <c:v>-6.3421579488946896E-3</c:v>
                </c:pt>
                <c:pt idx="111">
                  <c:v>-6.3633783415048394E-3</c:v>
                </c:pt>
                <c:pt idx="112">
                  <c:v>-6.3819621299550993E-3</c:v>
                </c:pt>
                <c:pt idx="113">
                  <c:v>-6.4266171870947918E-3</c:v>
                </c:pt>
                <c:pt idx="114">
                  <c:v>-6.4103950267143687E-3</c:v>
                </c:pt>
                <c:pt idx="115">
                  <c:v>-6.4177073897213298E-3</c:v>
                </c:pt>
                <c:pt idx="116">
                  <c:v>-6.4449320853121597E-3</c:v>
                </c:pt>
                <c:pt idx="117">
                  <c:v>-6.4422061255973882E-3</c:v>
                </c:pt>
                <c:pt idx="118">
                  <c:v>-6.4723327772686703E-3</c:v>
                </c:pt>
                <c:pt idx="119">
                  <c:v>-6.4861522045711207E-3</c:v>
                </c:pt>
                <c:pt idx="120">
                  <c:v>-6.4927776437609707E-3</c:v>
                </c:pt>
                <c:pt idx="121">
                  <c:v>-6.5103935323298995E-3</c:v>
                </c:pt>
                <c:pt idx="122">
                  <c:v>-6.521393818208719E-3</c:v>
                </c:pt>
                <c:pt idx="123">
                  <c:v>-6.5557043144723786E-3</c:v>
                </c:pt>
                <c:pt idx="124">
                  <c:v>-6.57531000998426E-3</c:v>
                </c:pt>
                <c:pt idx="125">
                  <c:v>-6.58649913362857E-3</c:v>
                </c:pt>
                <c:pt idx="126">
                  <c:v>-6.6042559119299012E-3</c:v>
                </c:pt>
                <c:pt idx="127">
                  <c:v>-6.6372493675015305E-3</c:v>
                </c:pt>
                <c:pt idx="128">
                  <c:v>-6.6532136983451593E-3</c:v>
                </c:pt>
                <c:pt idx="129">
                  <c:v>-6.6689680652920998E-3</c:v>
                </c:pt>
                <c:pt idx="130">
                  <c:v>-6.6882469900141498E-3</c:v>
                </c:pt>
                <c:pt idx="131">
                  <c:v>-6.6949635749951209E-3</c:v>
                </c:pt>
                <c:pt idx="132">
                  <c:v>-6.6794817212389012E-3</c:v>
                </c:pt>
                <c:pt idx="133">
                  <c:v>-6.7270124905068679E-3</c:v>
                </c:pt>
                <c:pt idx="134">
                  <c:v>-6.722915101780841E-3</c:v>
                </c:pt>
                <c:pt idx="135">
                  <c:v>-6.7571157297754494E-3</c:v>
                </c:pt>
                <c:pt idx="136">
                  <c:v>-6.7676294962961013E-3</c:v>
                </c:pt>
                <c:pt idx="137">
                  <c:v>-6.7985011589606296E-3</c:v>
                </c:pt>
                <c:pt idx="138">
                  <c:v>-6.8021554596761503E-3</c:v>
                </c:pt>
                <c:pt idx="139">
                  <c:v>-6.8335566673729097E-3</c:v>
                </c:pt>
                <c:pt idx="140">
                  <c:v>-6.8743696486985098E-3</c:v>
                </c:pt>
                <c:pt idx="141">
                  <c:v>-6.8790949910800987E-3</c:v>
                </c:pt>
                <c:pt idx="142">
                  <c:v>-6.8880433971064909E-3</c:v>
                </c:pt>
                <c:pt idx="143">
                  <c:v>-6.8915763848012897E-3</c:v>
                </c:pt>
                <c:pt idx="144">
                  <c:v>-6.9123404300395113E-3</c:v>
                </c:pt>
                <c:pt idx="145">
                  <c:v>-6.9175631973257103E-3</c:v>
                </c:pt>
                <c:pt idx="146">
                  <c:v>-6.9327190664432697E-3</c:v>
                </c:pt>
                <c:pt idx="147">
                  <c:v>-6.9697342701017812E-3</c:v>
                </c:pt>
                <c:pt idx="148">
                  <c:v>-6.9684185516924301E-3</c:v>
                </c:pt>
                <c:pt idx="149">
                  <c:v>-7.0021902662317998E-3</c:v>
                </c:pt>
                <c:pt idx="150">
                  <c:v>-6.9862640103559191E-3</c:v>
                </c:pt>
                <c:pt idx="151">
                  <c:v>-7.0117603564674802E-3</c:v>
                </c:pt>
                <c:pt idx="152">
                  <c:v>-7.0257441445659482E-3</c:v>
                </c:pt>
                <c:pt idx="153">
                  <c:v>-7.0320850659283509E-3</c:v>
                </c:pt>
                <c:pt idx="154">
                  <c:v>-7.046249619616419E-3</c:v>
                </c:pt>
                <c:pt idx="155">
                  <c:v>-7.0715314423600104E-3</c:v>
                </c:pt>
                <c:pt idx="156">
                  <c:v>-7.051484956820531E-3</c:v>
                </c:pt>
                <c:pt idx="157">
                  <c:v>-7.0613418638234395E-3</c:v>
                </c:pt>
                <c:pt idx="158">
                  <c:v>-7.0771260107840303E-3</c:v>
                </c:pt>
                <c:pt idx="159">
                  <c:v>-7.1088007439647381E-3</c:v>
                </c:pt>
                <c:pt idx="160">
                  <c:v>-7.0968276161377814E-3</c:v>
                </c:pt>
                <c:pt idx="161">
                  <c:v>-7.1070509203873204E-3</c:v>
                </c:pt>
                <c:pt idx="162">
                  <c:v>-7.1225231438960092E-3</c:v>
                </c:pt>
                <c:pt idx="163">
                  <c:v>-7.144780164391849E-3</c:v>
                </c:pt>
                <c:pt idx="164">
                  <c:v>-7.1534003554939588E-3</c:v>
                </c:pt>
                <c:pt idx="165">
                  <c:v>-7.1564518474133707E-3</c:v>
                </c:pt>
                <c:pt idx="166">
                  <c:v>-7.1808682421047E-3</c:v>
                </c:pt>
                <c:pt idx="167">
                  <c:v>-7.1729053470335003E-3</c:v>
                </c:pt>
                <c:pt idx="168">
                  <c:v>-7.20506111314222E-3</c:v>
                </c:pt>
                <c:pt idx="169">
                  <c:v>-7.2125200935484017E-3</c:v>
                </c:pt>
                <c:pt idx="170">
                  <c:v>-7.1956707086817404E-3</c:v>
                </c:pt>
                <c:pt idx="171">
                  <c:v>-7.2028099130522702E-3</c:v>
                </c:pt>
                <c:pt idx="172">
                  <c:v>-7.2454137078274399E-3</c:v>
                </c:pt>
                <c:pt idx="173">
                  <c:v>-7.2268792213298193E-3</c:v>
                </c:pt>
                <c:pt idx="174">
                  <c:v>-7.2295872234576387E-3</c:v>
                </c:pt>
                <c:pt idx="175">
                  <c:v>-7.234456004192381E-3</c:v>
                </c:pt>
                <c:pt idx="176">
                  <c:v>-7.2413319152912882E-3</c:v>
                </c:pt>
                <c:pt idx="177">
                  <c:v>-7.2467277595382783E-3</c:v>
                </c:pt>
                <c:pt idx="178">
                  <c:v>-7.2455306312949217E-3</c:v>
                </c:pt>
                <c:pt idx="179">
                  <c:v>-7.2705681773447871E-3</c:v>
                </c:pt>
                <c:pt idx="180">
                  <c:v>-7.2678582904013404E-3</c:v>
                </c:pt>
                <c:pt idx="181">
                  <c:v>-7.262722198392667E-3</c:v>
                </c:pt>
                <c:pt idx="182">
                  <c:v>-7.2726958260239619E-3</c:v>
                </c:pt>
                <c:pt idx="183">
                  <c:v>-7.2940126046093694E-3</c:v>
                </c:pt>
                <c:pt idx="184">
                  <c:v>-7.2754936557645512E-3</c:v>
                </c:pt>
                <c:pt idx="185">
                  <c:v>-7.2904143025744987E-3</c:v>
                </c:pt>
                <c:pt idx="186">
                  <c:v>-7.3041170480020482E-3</c:v>
                </c:pt>
                <c:pt idx="187">
                  <c:v>-7.2941127689223392E-3</c:v>
                </c:pt>
                <c:pt idx="188">
                  <c:v>-7.3162337893927362E-3</c:v>
                </c:pt>
                <c:pt idx="189">
                  <c:v>-7.2999252529909577E-3</c:v>
                </c:pt>
                <c:pt idx="190">
                  <c:v>-7.3207693255178787E-3</c:v>
                </c:pt>
                <c:pt idx="191">
                  <c:v>-7.3287932592212713E-3</c:v>
                </c:pt>
                <c:pt idx="192">
                  <c:v>-7.3325013909352598E-3</c:v>
                </c:pt>
                <c:pt idx="193">
                  <c:v>-7.3341790896746762E-3</c:v>
                </c:pt>
                <c:pt idx="194">
                  <c:v>-7.3167319259874576E-3</c:v>
                </c:pt>
                <c:pt idx="195">
                  <c:v>-7.3258813839609579E-3</c:v>
                </c:pt>
                <c:pt idx="196">
                  <c:v>-7.3286638775579907E-3</c:v>
                </c:pt>
                <c:pt idx="197">
                  <c:v>-7.3408616345369982E-3</c:v>
                </c:pt>
                <c:pt idx="198">
                  <c:v>-7.3528702190151203E-3</c:v>
                </c:pt>
                <c:pt idx="199">
                  <c:v>-7.3502213879481316E-3</c:v>
                </c:pt>
                <c:pt idx="200">
                  <c:v>-7.3334920009763601E-3</c:v>
                </c:pt>
                <c:pt idx="201">
                  <c:v>-7.3501995628221187E-3</c:v>
                </c:pt>
                <c:pt idx="202">
                  <c:v>-7.3411737328156687E-3</c:v>
                </c:pt>
                <c:pt idx="203">
                  <c:v>-7.3262755022966298E-3</c:v>
                </c:pt>
                <c:pt idx="204">
                  <c:v>-7.3324785405256502E-3</c:v>
                </c:pt>
                <c:pt idx="205">
                  <c:v>-7.3701151694125716E-3</c:v>
                </c:pt>
                <c:pt idx="206">
                  <c:v>-7.3743266950182908E-3</c:v>
                </c:pt>
                <c:pt idx="207">
                  <c:v>-7.3747571507543717E-3</c:v>
                </c:pt>
                <c:pt idx="208">
                  <c:v>-7.3703159498212595E-3</c:v>
                </c:pt>
                <c:pt idx="209">
                  <c:v>-7.3889363290147708E-3</c:v>
                </c:pt>
                <c:pt idx="210">
                  <c:v>-7.3784373557041283E-3</c:v>
                </c:pt>
                <c:pt idx="211">
                  <c:v>-7.400187331267548E-3</c:v>
                </c:pt>
                <c:pt idx="212">
                  <c:v>-7.3900413957002312E-3</c:v>
                </c:pt>
                <c:pt idx="213">
                  <c:v>-7.3739780811099805E-3</c:v>
                </c:pt>
                <c:pt idx="214">
                  <c:v>-7.3967167700575102E-3</c:v>
                </c:pt>
                <c:pt idx="215">
                  <c:v>-7.3996179822336302E-3</c:v>
                </c:pt>
                <c:pt idx="216">
                  <c:v>-7.3952285073926793E-3</c:v>
                </c:pt>
                <c:pt idx="217">
                  <c:v>-7.3699217305858589E-3</c:v>
                </c:pt>
                <c:pt idx="218">
                  <c:v>-7.3807482762533903E-3</c:v>
                </c:pt>
                <c:pt idx="219">
                  <c:v>-7.4064293033680112E-3</c:v>
                </c:pt>
                <c:pt idx="220">
                  <c:v>-7.3934878888519016E-3</c:v>
                </c:pt>
                <c:pt idx="221">
                  <c:v>-7.3906369330649603E-3</c:v>
                </c:pt>
                <c:pt idx="222">
                  <c:v>-7.3996046484011389E-3</c:v>
                </c:pt>
                <c:pt idx="223">
                  <c:v>-7.4065315249053796E-3</c:v>
                </c:pt>
                <c:pt idx="224">
                  <c:v>-7.3941870199747579E-3</c:v>
                </c:pt>
                <c:pt idx="225">
                  <c:v>-7.4112769101534592E-3</c:v>
                </c:pt>
                <c:pt idx="226">
                  <c:v>-7.4152200173650496E-3</c:v>
                </c:pt>
                <c:pt idx="227">
                  <c:v>-7.3996782592122218E-3</c:v>
                </c:pt>
                <c:pt idx="228">
                  <c:v>-7.4021735793792579E-3</c:v>
                </c:pt>
                <c:pt idx="229">
                  <c:v>-7.4290708387899397E-3</c:v>
                </c:pt>
                <c:pt idx="230">
                  <c:v>-7.4105759619693904E-3</c:v>
                </c:pt>
                <c:pt idx="231">
                  <c:v>-7.4080454390153296E-3</c:v>
                </c:pt>
                <c:pt idx="232">
                  <c:v>-7.3963422480287488E-3</c:v>
                </c:pt>
                <c:pt idx="233">
                  <c:v>-7.3743808172373002E-3</c:v>
                </c:pt>
                <c:pt idx="234">
                  <c:v>-7.3904960024440804E-3</c:v>
                </c:pt>
                <c:pt idx="235">
                  <c:v>-7.383588672161147E-3</c:v>
                </c:pt>
                <c:pt idx="236">
                  <c:v>-7.3819142994506091E-3</c:v>
                </c:pt>
                <c:pt idx="237">
                  <c:v>-7.4004749973853512E-3</c:v>
                </c:pt>
                <c:pt idx="238">
                  <c:v>-7.3849181156778717E-3</c:v>
                </c:pt>
                <c:pt idx="239">
                  <c:v>-7.3900752481409274E-3</c:v>
                </c:pt>
                <c:pt idx="240">
                  <c:v>-7.3828096511633409E-3</c:v>
                </c:pt>
                <c:pt idx="241">
                  <c:v>-7.3787188906170725E-3</c:v>
                </c:pt>
                <c:pt idx="242">
                  <c:v>-7.3765348268224618E-3</c:v>
                </c:pt>
                <c:pt idx="243">
                  <c:v>-7.3724026864606992E-3</c:v>
                </c:pt>
                <c:pt idx="244">
                  <c:v>-7.3606939135487806E-3</c:v>
                </c:pt>
                <c:pt idx="245">
                  <c:v>-7.3460499370395695E-3</c:v>
                </c:pt>
                <c:pt idx="246">
                  <c:v>-7.3616937805326904E-3</c:v>
                </c:pt>
                <c:pt idx="247">
                  <c:v>-7.3643628432221182E-3</c:v>
                </c:pt>
                <c:pt idx="248">
                  <c:v>-7.3739676117403818E-3</c:v>
                </c:pt>
                <c:pt idx="249">
                  <c:v>-7.3720829362304997E-3</c:v>
                </c:pt>
                <c:pt idx="250">
                  <c:v>-7.3712366073274494E-3</c:v>
                </c:pt>
                <c:pt idx="251">
                  <c:v>-7.3676315266529091E-3</c:v>
                </c:pt>
                <c:pt idx="252">
                  <c:v>-7.369981437349871E-3</c:v>
                </c:pt>
                <c:pt idx="253">
                  <c:v>-7.3498818706654312E-3</c:v>
                </c:pt>
                <c:pt idx="254">
                  <c:v>-7.3664800581326592E-3</c:v>
                </c:pt>
                <c:pt idx="255">
                  <c:v>-7.3454018683953579E-3</c:v>
                </c:pt>
                <c:pt idx="256">
                  <c:v>-7.3653225604565437E-3</c:v>
                </c:pt>
                <c:pt idx="257">
                  <c:v>-7.3561238317423217E-3</c:v>
                </c:pt>
                <c:pt idx="258">
                  <c:v>-7.3439467245366421E-3</c:v>
                </c:pt>
                <c:pt idx="259">
                  <c:v>-7.3503193218615107E-3</c:v>
                </c:pt>
                <c:pt idx="260">
                  <c:v>-7.3368443521360715E-3</c:v>
                </c:pt>
                <c:pt idx="261">
                  <c:v>-7.3626115090615904E-3</c:v>
                </c:pt>
                <c:pt idx="262">
                  <c:v>-7.3588725811674586E-3</c:v>
                </c:pt>
                <c:pt idx="263">
                  <c:v>-7.3549618487574299E-3</c:v>
                </c:pt>
                <c:pt idx="264">
                  <c:v>-7.3592765282816507E-3</c:v>
                </c:pt>
                <c:pt idx="265">
                  <c:v>-7.358163479432701E-3</c:v>
                </c:pt>
                <c:pt idx="266">
                  <c:v>-7.3504194993349609E-3</c:v>
                </c:pt>
                <c:pt idx="267">
                  <c:v>-7.3522891190350402E-3</c:v>
                </c:pt>
                <c:pt idx="268">
                  <c:v>-7.3673585075629579E-3</c:v>
                </c:pt>
                <c:pt idx="269">
                  <c:v>-7.3568600061914508E-3</c:v>
                </c:pt>
                <c:pt idx="270">
                  <c:v>-7.3629698706758513E-3</c:v>
                </c:pt>
                <c:pt idx="271">
                  <c:v>-7.3570983379019289E-3</c:v>
                </c:pt>
                <c:pt idx="272">
                  <c:v>-7.3457847074806107E-3</c:v>
                </c:pt>
                <c:pt idx="273">
                  <c:v>-7.3811961193203397E-3</c:v>
                </c:pt>
                <c:pt idx="274">
                  <c:v>-7.3570000573470297E-3</c:v>
                </c:pt>
                <c:pt idx="275">
                  <c:v>-7.3362488858544662E-3</c:v>
                </c:pt>
                <c:pt idx="276">
                  <c:v>-7.3542283107810883E-3</c:v>
                </c:pt>
                <c:pt idx="277">
                  <c:v>-7.3282385840108162E-3</c:v>
                </c:pt>
                <c:pt idx="278">
                  <c:v>-7.3522763804187586E-3</c:v>
                </c:pt>
                <c:pt idx="279">
                  <c:v>-7.3636408200969993E-3</c:v>
                </c:pt>
                <c:pt idx="280">
                  <c:v>-7.3186951006457999E-3</c:v>
                </c:pt>
                <c:pt idx="281">
                  <c:v>-7.3312708298066114E-3</c:v>
                </c:pt>
                <c:pt idx="282">
                  <c:v>-7.3381648840104216E-3</c:v>
                </c:pt>
                <c:pt idx="283">
                  <c:v>-7.3320478274595102E-3</c:v>
                </c:pt>
                <c:pt idx="284">
                  <c:v>-7.354881327965951E-3</c:v>
                </c:pt>
                <c:pt idx="285">
                  <c:v>-7.3632271883362927E-3</c:v>
                </c:pt>
                <c:pt idx="286">
                  <c:v>-7.3408250122056805E-3</c:v>
                </c:pt>
                <c:pt idx="287">
                  <c:v>-7.35289800909192E-3</c:v>
                </c:pt>
                <c:pt idx="288">
                  <c:v>-7.3315811987412988E-3</c:v>
                </c:pt>
                <c:pt idx="289">
                  <c:v>-7.3310481821193471E-3</c:v>
                </c:pt>
                <c:pt idx="290">
                  <c:v>-7.320332338636419E-3</c:v>
                </c:pt>
                <c:pt idx="291">
                  <c:v>-7.3271851950144021E-3</c:v>
                </c:pt>
                <c:pt idx="292">
                  <c:v>-7.3333428483454196E-3</c:v>
                </c:pt>
                <c:pt idx="293">
                  <c:v>-7.351084773419698E-3</c:v>
                </c:pt>
                <c:pt idx="294">
                  <c:v>-7.3539869035250793E-3</c:v>
                </c:pt>
                <c:pt idx="295">
                  <c:v>-7.3743453286390708E-3</c:v>
                </c:pt>
                <c:pt idx="296">
                  <c:v>-7.3374394774012872E-3</c:v>
                </c:pt>
                <c:pt idx="297">
                  <c:v>-7.3404506718100287E-3</c:v>
                </c:pt>
                <c:pt idx="298">
                  <c:v>-7.3455206185206907E-3</c:v>
                </c:pt>
                <c:pt idx="299">
                  <c:v>-7.3316583748321675E-3</c:v>
                </c:pt>
                <c:pt idx="300">
                  <c:v>-7.3114710913463801E-3</c:v>
                </c:pt>
                <c:pt idx="301">
                  <c:v>-7.3355537781131007E-3</c:v>
                </c:pt>
                <c:pt idx="302">
                  <c:v>-7.3580184655981104E-3</c:v>
                </c:pt>
                <c:pt idx="303">
                  <c:v>-7.3264445812341508E-3</c:v>
                </c:pt>
                <c:pt idx="304">
                  <c:v>-7.34160783876625E-3</c:v>
                </c:pt>
                <c:pt idx="305">
                  <c:v>-7.3232200793119885E-3</c:v>
                </c:pt>
                <c:pt idx="306">
                  <c:v>-7.3200787683189404E-3</c:v>
                </c:pt>
                <c:pt idx="307">
                  <c:v>-7.3629385104086002E-3</c:v>
                </c:pt>
                <c:pt idx="308">
                  <c:v>-7.3288303180189416E-3</c:v>
                </c:pt>
                <c:pt idx="309">
                  <c:v>-7.3493576647446924E-3</c:v>
                </c:pt>
                <c:pt idx="310">
                  <c:v>-7.3561697012427107E-3</c:v>
                </c:pt>
                <c:pt idx="311">
                  <c:v>-7.3413666985251511E-3</c:v>
                </c:pt>
                <c:pt idx="312">
                  <c:v>-7.3498878551689706E-3</c:v>
                </c:pt>
                <c:pt idx="313">
                  <c:v>-7.3278502344985216E-3</c:v>
                </c:pt>
                <c:pt idx="314">
                  <c:v>-7.3275601728672191E-3</c:v>
                </c:pt>
                <c:pt idx="315">
                  <c:v>-7.3273774948796515E-3</c:v>
                </c:pt>
                <c:pt idx="316">
                  <c:v>-7.3202857722245492E-3</c:v>
                </c:pt>
                <c:pt idx="317">
                  <c:v>-7.35251676544118E-3</c:v>
                </c:pt>
                <c:pt idx="318">
                  <c:v>-7.3296870628020098E-3</c:v>
                </c:pt>
                <c:pt idx="319">
                  <c:v>-7.3306416318455071E-3</c:v>
                </c:pt>
                <c:pt idx="320">
                  <c:v>-7.3150559944691477E-3</c:v>
                </c:pt>
                <c:pt idx="321">
                  <c:v>-7.3120326919986585E-3</c:v>
                </c:pt>
                <c:pt idx="322">
                  <c:v>-7.3089029441664403E-3</c:v>
                </c:pt>
                <c:pt idx="323">
                  <c:v>-7.3077918551659295E-3</c:v>
                </c:pt>
                <c:pt idx="324">
                  <c:v>-7.308492589866801E-3</c:v>
                </c:pt>
                <c:pt idx="325">
                  <c:v>-7.3283394224306179E-3</c:v>
                </c:pt>
                <c:pt idx="326">
                  <c:v>-7.3351998562310389E-3</c:v>
                </c:pt>
                <c:pt idx="327">
                  <c:v>-7.3370434795966902E-3</c:v>
                </c:pt>
                <c:pt idx="328">
                  <c:v>-7.3216484574407199E-3</c:v>
                </c:pt>
                <c:pt idx="329">
                  <c:v>-7.3596819300259979E-3</c:v>
                </c:pt>
                <c:pt idx="330">
                  <c:v>-7.3501743934244763E-3</c:v>
                </c:pt>
                <c:pt idx="331">
                  <c:v>-7.343888290667522E-3</c:v>
                </c:pt>
                <c:pt idx="332">
                  <c:v>-7.3402321780393987E-3</c:v>
                </c:pt>
                <c:pt idx="333">
                  <c:v>-7.3753174141039501E-3</c:v>
                </c:pt>
                <c:pt idx="334">
                  <c:v>-7.3476619638437697E-3</c:v>
                </c:pt>
                <c:pt idx="335">
                  <c:v>-7.3783132009610595E-3</c:v>
                </c:pt>
                <c:pt idx="336">
                  <c:v>-7.3694257932030776E-3</c:v>
                </c:pt>
                <c:pt idx="337">
                  <c:v>-7.3292090846887991E-3</c:v>
                </c:pt>
                <c:pt idx="338">
                  <c:v>-7.3447543481060685E-3</c:v>
                </c:pt>
                <c:pt idx="339">
                  <c:v>-7.3584667916203597E-3</c:v>
                </c:pt>
                <c:pt idx="340">
                  <c:v>-7.3547260473849404E-3</c:v>
                </c:pt>
                <c:pt idx="341">
                  <c:v>-7.3676832707167692E-3</c:v>
                </c:pt>
                <c:pt idx="342">
                  <c:v>-7.3785408041312107E-3</c:v>
                </c:pt>
                <c:pt idx="343">
                  <c:v>-7.3792295938068892E-3</c:v>
                </c:pt>
                <c:pt idx="344">
                  <c:v>-7.3753688636073985E-3</c:v>
                </c:pt>
                <c:pt idx="345">
                  <c:v>-7.3749689998360195E-3</c:v>
                </c:pt>
                <c:pt idx="346">
                  <c:v>-7.3884089089693303E-3</c:v>
                </c:pt>
                <c:pt idx="347">
                  <c:v>-7.3709023141954278E-3</c:v>
                </c:pt>
                <c:pt idx="348">
                  <c:v>-7.3574340269521379E-3</c:v>
                </c:pt>
                <c:pt idx="349">
                  <c:v>-7.3895710199696199E-3</c:v>
                </c:pt>
                <c:pt idx="350">
                  <c:v>-7.4147795035771676E-3</c:v>
                </c:pt>
                <c:pt idx="351">
                  <c:v>-7.3945511946470694E-3</c:v>
                </c:pt>
                <c:pt idx="352">
                  <c:v>-7.4137508310730908E-3</c:v>
                </c:pt>
                <c:pt idx="353">
                  <c:v>-7.4318479347693497E-3</c:v>
                </c:pt>
                <c:pt idx="354">
                  <c:v>-7.4484150050166077E-3</c:v>
                </c:pt>
                <c:pt idx="355">
                  <c:v>-7.4615292744114395E-3</c:v>
                </c:pt>
                <c:pt idx="356">
                  <c:v>-7.437743095457511E-3</c:v>
                </c:pt>
                <c:pt idx="357">
                  <c:v>-7.4173773619421709E-3</c:v>
                </c:pt>
                <c:pt idx="358">
                  <c:v>-7.4138832870839179E-3</c:v>
                </c:pt>
                <c:pt idx="359">
                  <c:v>-7.483511367099592E-3</c:v>
                </c:pt>
                <c:pt idx="360">
                  <c:v>-7.4515149262243587E-3</c:v>
                </c:pt>
                <c:pt idx="361">
                  <c:v>-7.4418428026632906E-3</c:v>
                </c:pt>
                <c:pt idx="362">
                  <c:v>-7.4636611199171516E-3</c:v>
                </c:pt>
                <c:pt idx="363">
                  <c:v>-7.49944924869771E-3</c:v>
                </c:pt>
                <c:pt idx="364">
                  <c:v>-7.5077289781218196E-3</c:v>
                </c:pt>
                <c:pt idx="365">
                  <c:v>-7.5093265109627393E-3</c:v>
                </c:pt>
                <c:pt idx="366">
                  <c:v>-7.51845282775657E-3</c:v>
                </c:pt>
                <c:pt idx="367">
                  <c:v>-7.5192564611550779E-3</c:v>
                </c:pt>
                <c:pt idx="368">
                  <c:v>-7.5019847999911529E-3</c:v>
                </c:pt>
                <c:pt idx="369">
                  <c:v>-7.4980770301171801E-3</c:v>
                </c:pt>
                <c:pt idx="370">
                  <c:v>-7.4940453323084381E-3</c:v>
                </c:pt>
                <c:pt idx="371">
                  <c:v>-7.5046714272994485E-3</c:v>
                </c:pt>
                <c:pt idx="372">
                  <c:v>-7.5093069949227279E-3</c:v>
                </c:pt>
                <c:pt idx="373">
                  <c:v>-7.4966266957525417E-3</c:v>
                </c:pt>
                <c:pt idx="374">
                  <c:v>-7.5826901453017485E-3</c:v>
                </c:pt>
                <c:pt idx="375">
                  <c:v>-7.5912423994444912E-3</c:v>
                </c:pt>
                <c:pt idx="376">
                  <c:v>-7.6107356347575985E-3</c:v>
                </c:pt>
                <c:pt idx="377">
                  <c:v>-7.5839870588283401E-3</c:v>
                </c:pt>
                <c:pt idx="378">
                  <c:v>-7.6171036725474197E-3</c:v>
                </c:pt>
                <c:pt idx="379">
                  <c:v>-7.6009801091671608E-3</c:v>
                </c:pt>
                <c:pt idx="380">
                  <c:v>-7.6304079657625763E-3</c:v>
                </c:pt>
                <c:pt idx="381">
                  <c:v>-7.6384799908027099E-3</c:v>
                </c:pt>
                <c:pt idx="382">
                  <c:v>-7.6695173096467395E-3</c:v>
                </c:pt>
                <c:pt idx="383">
                  <c:v>-7.6853820086091196E-3</c:v>
                </c:pt>
                <c:pt idx="384">
                  <c:v>-7.6240193039898907E-3</c:v>
                </c:pt>
                <c:pt idx="385">
                  <c:v>-7.7259320431252825E-3</c:v>
                </c:pt>
                <c:pt idx="386">
                  <c:v>-7.7223944400310303E-3</c:v>
                </c:pt>
                <c:pt idx="387">
                  <c:v>-7.75635679543067E-3</c:v>
                </c:pt>
                <c:pt idx="388">
                  <c:v>-7.7190897291898883E-3</c:v>
                </c:pt>
                <c:pt idx="389">
                  <c:v>-7.7791076585459378E-3</c:v>
                </c:pt>
                <c:pt idx="390">
                  <c:v>-7.7669645959765991E-3</c:v>
                </c:pt>
                <c:pt idx="391">
                  <c:v>-7.7864682109588688E-3</c:v>
                </c:pt>
                <c:pt idx="392">
                  <c:v>-7.8198823979197408E-3</c:v>
                </c:pt>
                <c:pt idx="393">
                  <c:v>-7.8203066181056005E-3</c:v>
                </c:pt>
                <c:pt idx="394">
                  <c:v>-7.7826639332961986E-3</c:v>
                </c:pt>
                <c:pt idx="395">
                  <c:v>-7.8257457032810101E-3</c:v>
                </c:pt>
                <c:pt idx="396">
                  <c:v>-7.9090516627595905E-3</c:v>
                </c:pt>
                <c:pt idx="397">
                  <c:v>-7.8734169856436095E-3</c:v>
                </c:pt>
                <c:pt idx="398">
                  <c:v>-7.95201845943274E-3</c:v>
                </c:pt>
                <c:pt idx="399">
                  <c:v>-7.8762928496899105E-3</c:v>
                </c:pt>
                <c:pt idx="400">
                  <c:v>-7.9875815877179322E-3</c:v>
                </c:pt>
                <c:pt idx="401">
                  <c:v>-7.9161619089480693E-3</c:v>
                </c:pt>
                <c:pt idx="402">
                  <c:v>-7.9538627348789692E-3</c:v>
                </c:pt>
                <c:pt idx="403">
                  <c:v>-7.3434125821069179E-3</c:v>
                </c:pt>
                <c:pt idx="404">
                  <c:v>-7.3508331690528995E-3</c:v>
                </c:pt>
                <c:pt idx="405">
                  <c:v>-7.3275368896394688E-3</c:v>
                </c:pt>
                <c:pt idx="406">
                  <c:v>-7.3246528486003108E-3</c:v>
                </c:pt>
                <c:pt idx="407">
                  <c:v>-7.3454606128462094E-3</c:v>
                </c:pt>
                <c:pt idx="408">
                  <c:v>-7.3378316456080908E-3</c:v>
                </c:pt>
                <c:pt idx="409">
                  <c:v>-7.3264550439217412E-3</c:v>
                </c:pt>
                <c:pt idx="410">
                  <c:v>-7.3638056978751094E-3</c:v>
                </c:pt>
                <c:pt idx="411">
                  <c:v>-7.3724021167917786E-3</c:v>
                </c:pt>
                <c:pt idx="412">
                  <c:v>-7.3506536452722388E-3</c:v>
                </c:pt>
                <c:pt idx="413">
                  <c:v>-7.3626028246510603E-3</c:v>
                </c:pt>
                <c:pt idx="414">
                  <c:v>-7.3617766621728586E-3</c:v>
                </c:pt>
                <c:pt idx="415">
                  <c:v>-7.3611365613563181E-3</c:v>
                </c:pt>
                <c:pt idx="416">
                  <c:v>-7.3836442279174999E-3</c:v>
                </c:pt>
                <c:pt idx="417">
                  <c:v>-7.3923168140076516E-3</c:v>
                </c:pt>
                <c:pt idx="418">
                  <c:v>-7.3780511021788011E-3</c:v>
                </c:pt>
                <c:pt idx="419">
                  <c:v>-7.3735697855503001E-3</c:v>
                </c:pt>
                <c:pt idx="420">
                  <c:v>-7.4027078700357411E-3</c:v>
                </c:pt>
                <c:pt idx="421">
                  <c:v>-7.4731176877169412E-3</c:v>
                </c:pt>
                <c:pt idx="422">
                  <c:v>-7.4507125446153163E-3</c:v>
                </c:pt>
                <c:pt idx="423">
                  <c:v>-7.3935627670627009E-3</c:v>
                </c:pt>
                <c:pt idx="424">
                  <c:v>-7.4410622334076491E-3</c:v>
                </c:pt>
                <c:pt idx="425">
                  <c:v>-7.4802550728079184E-3</c:v>
                </c:pt>
                <c:pt idx="426">
                  <c:v>-7.4887009849828878E-3</c:v>
                </c:pt>
                <c:pt idx="427">
                  <c:v>-7.4530574710251788E-3</c:v>
                </c:pt>
                <c:pt idx="428">
                  <c:v>-7.5197814534641591E-3</c:v>
                </c:pt>
                <c:pt idx="429">
                  <c:v>-7.5339768015840998E-3</c:v>
                </c:pt>
                <c:pt idx="430">
                  <c:v>-7.5210113267321329E-3</c:v>
                </c:pt>
                <c:pt idx="431">
                  <c:v>-7.5660798476791628E-3</c:v>
                </c:pt>
                <c:pt idx="432">
                  <c:v>-7.5899837584213507E-3</c:v>
                </c:pt>
                <c:pt idx="433">
                  <c:v>-7.5254272728883407E-3</c:v>
                </c:pt>
                <c:pt idx="434">
                  <c:v>-7.5723701674693502E-3</c:v>
                </c:pt>
                <c:pt idx="435">
                  <c:v>-7.5522432650756205E-3</c:v>
                </c:pt>
                <c:pt idx="436">
                  <c:v>-7.5869018581389185E-3</c:v>
                </c:pt>
                <c:pt idx="437">
                  <c:v>-7.6301551414346804E-3</c:v>
                </c:pt>
                <c:pt idx="438">
                  <c:v>-7.6697674081180611E-3</c:v>
                </c:pt>
                <c:pt idx="439">
                  <c:v>-7.683511870757981E-3</c:v>
                </c:pt>
                <c:pt idx="440">
                  <c:v>-7.7179287617207184E-3</c:v>
                </c:pt>
                <c:pt idx="441">
                  <c:v>-7.7466429184033679E-3</c:v>
                </c:pt>
                <c:pt idx="442">
                  <c:v>-7.7011807060208002E-3</c:v>
                </c:pt>
                <c:pt idx="443">
                  <c:v>-7.6755161347411109E-3</c:v>
                </c:pt>
                <c:pt idx="444">
                  <c:v>-7.82579563942103E-3</c:v>
                </c:pt>
                <c:pt idx="445">
                  <c:v>-7.8234817744535622E-3</c:v>
                </c:pt>
                <c:pt idx="446">
                  <c:v>-7.8021825080927488E-3</c:v>
                </c:pt>
                <c:pt idx="447">
                  <c:v>-7.785941898797011E-3</c:v>
                </c:pt>
                <c:pt idx="448">
                  <c:v>-7.8090076351542397E-3</c:v>
                </c:pt>
                <c:pt idx="449">
                  <c:v>-7.8588726148051177E-3</c:v>
                </c:pt>
                <c:pt idx="450">
                  <c:v>-7.875440696401996E-3</c:v>
                </c:pt>
                <c:pt idx="451">
                  <c:v>-7.845612009667156E-3</c:v>
                </c:pt>
                <c:pt idx="452">
                  <c:v>-7.8860683343095084E-3</c:v>
                </c:pt>
                <c:pt idx="453">
                  <c:v>-7.8978307247401288E-3</c:v>
                </c:pt>
                <c:pt idx="454">
                  <c:v>-7.884210958240212E-3</c:v>
                </c:pt>
                <c:pt idx="455">
                  <c:v>-7.8843052434287592E-3</c:v>
                </c:pt>
                <c:pt idx="456">
                  <c:v>-7.9433721949690294E-3</c:v>
                </c:pt>
                <c:pt idx="457">
                  <c:v>-7.9132297995283696E-3</c:v>
                </c:pt>
                <c:pt idx="458">
                  <c:v>-8.0269611076805181E-3</c:v>
                </c:pt>
                <c:pt idx="459">
                  <c:v>-8.2425403366013176E-3</c:v>
                </c:pt>
                <c:pt idx="460">
                  <c:v>-8.114179848434178E-3</c:v>
                </c:pt>
                <c:pt idx="461">
                  <c:v>-8.1476749043142161E-3</c:v>
                </c:pt>
                <c:pt idx="462">
                  <c:v>-8.1953604005221177E-3</c:v>
                </c:pt>
                <c:pt idx="463">
                  <c:v>-8.2613848531101434E-3</c:v>
                </c:pt>
                <c:pt idx="464">
                  <c:v>-8.2391560986216292E-3</c:v>
                </c:pt>
                <c:pt idx="465">
                  <c:v>-8.2706435888256612E-3</c:v>
                </c:pt>
                <c:pt idx="466">
                  <c:v>-8.3381499294956189E-3</c:v>
                </c:pt>
                <c:pt idx="467">
                  <c:v>-8.3928481936265901E-3</c:v>
                </c:pt>
                <c:pt idx="468">
                  <c:v>-8.3853855720032403E-3</c:v>
                </c:pt>
                <c:pt idx="469">
                  <c:v>-8.4102272774552091E-3</c:v>
                </c:pt>
                <c:pt idx="470">
                  <c:v>-8.5160204271426572E-3</c:v>
                </c:pt>
                <c:pt idx="471">
                  <c:v>-8.502686182147362E-3</c:v>
                </c:pt>
                <c:pt idx="472">
                  <c:v>-8.5840157828701181E-3</c:v>
                </c:pt>
                <c:pt idx="473">
                  <c:v>-8.7728672437632996E-3</c:v>
                </c:pt>
                <c:pt idx="474">
                  <c:v>-8.6888793449084612E-3</c:v>
                </c:pt>
                <c:pt idx="475">
                  <c:v>-8.7778924081220195E-3</c:v>
                </c:pt>
                <c:pt idx="476">
                  <c:v>-8.6359851708814606E-3</c:v>
                </c:pt>
                <c:pt idx="477">
                  <c:v>-8.725722758101238E-3</c:v>
                </c:pt>
                <c:pt idx="478">
                  <c:v>-9.0039707625755583E-3</c:v>
                </c:pt>
                <c:pt idx="479">
                  <c:v>-8.7890073483769607E-3</c:v>
                </c:pt>
                <c:pt idx="480">
                  <c:v>-8.88256860416212E-3</c:v>
                </c:pt>
                <c:pt idx="481">
                  <c:v>-8.9073206445201992E-3</c:v>
                </c:pt>
                <c:pt idx="482">
                  <c:v>-9.0125383097995702E-3</c:v>
                </c:pt>
                <c:pt idx="483">
                  <c:v>-9.2119359084048488E-3</c:v>
                </c:pt>
                <c:pt idx="484">
                  <c:v>-9.2001811253523847E-3</c:v>
                </c:pt>
                <c:pt idx="485">
                  <c:v>-9.2936667016943492E-3</c:v>
                </c:pt>
                <c:pt idx="486">
                  <c:v>-9.3206902387192401E-3</c:v>
                </c:pt>
                <c:pt idx="487">
                  <c:v>-9.3953028604348808E-3</c:v>
                </c:pt>
                <c:pt idx="488">
                  <c:v>-9.4598186225400629E-3</c:v>
                </c:pt>
                <c:pt idx="489">
                  <c:v>-9.5180876220638099E-3</c:v>
                </c:pt>
                <c:pt idx="490">
                  <c:v>-9.5957913496359688E-3</c:v>
                </c:pt>
                <c:pt idx="491">
                  <c:v>-9.6778580624652666E-3</c:v>
                </c:pt>
                <c:pt idx="492">
                  <c:v>-9.8517295691838425E-3</c:v>
                </c:pt>
                <c:pt idx="493">
                  <c:v>-9.7787085016676194E-3</c:v>
                </c:pt>
                <c:pt idx="494">
                  <c:v>-1.0052884259644899E-2</c:v>
                </c:pt>
                <c:pt idx="495">
                  <c:v>-9.9867262145763702E-3</c:v>
                </c:pt>
                <c:pt idx="496">
                  <c:v>-9.9454351696326004E-3</c:v>
                </c:pt>
                <c:pt idx="497">
                  <c:v>-1.0017548785091998E-2</c:v>
                </c:pt>
                <c:pt idx="498">
                  <c:v>-1.0100723178064199E-2</c:v>
                </c:pt>
                <c:pt idx="499">
                  <c:v>-1.0326701625925598E-2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3-B56A-4A25-B6E9-47167997A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layout>
            <c:manualLayout>
              <c:xMode val="edge"/>
              <c:yMode val="edge"/>
              <c:x val="0.45600000000000002"/>
              <c:y val="0.86050000000000004"/>
            </c:manualLayout>
          </c:layout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between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Gain (dB)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b"/>
      <c:layout>
        <c:manualLayout>
          <c:xMode val="edge"/>
          <c:yMode val="edge"/>
          <c:x val="0.19550000000000001"/>
          <c:y val="0.93600000000000005"/>
        </c:manualLayout>
      </c:layout>
      <c:overlay val="0"/>
      <c:spPr>
        <a:noFill/>
        <a:ln w="9525">
          <a:noFill/>
        </a:ln>
      </c:spPr>
      <c:txPr>
        <a:bodyPr anchor="ctr" anchorCtr="1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Gain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Gain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'GAIN vs FREQ'!$L$5:$L$504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FREQ'!$P$5:$P$504</c:f>
              <c:numCache>
                <c:formatCode>General</c:formatCode>
                <c:ptCount val="500"/>
                <c:pt idx="0">
                  <c:v>1.2367681309555888E-2</c:v>
                </c:pt>
                <c:pt idx="1">
                  <c:v>1.197293621410595E-2</c:v>
                </c:pt>
                <c:pt idx="2">
                  <c:v>1.1544496281128098E-2</c:v>
                </c:pt>
                <c:pt idx="3">
                  <c:v>1.1130410277279859E-2</c:v>
                </c:pt>
                <c:pt idx="4">
                  <c:v>1.073620172612438E-2</c:v>
                </c:pt>
                <c:pt idx="5">
                  <c:v>1.034657585204599E-2</c:v>
                </c:pt>
                <c:pt idx="6">
                  <c:v>1.000958720024708E-2</c:v>
                </c:pt>
                <c:pt idx="7">
                  <c:v>9.6553071031626504E-3</c:v>
                </c:pt>
                <c:pt idx="8">
                  <c:v>9.2682540248749806E-3</c:v>
                </c:pt>
                <c:pt idx="9">
                  <c:v>8.9468229910436795E-3</c:v>
                </c:pt>
                <c:pt idx="10">
                  <c:v>8.6242874044064697E-3</c:v>
                </c:pt>
                <c:pt idx="11">
                  <c:v>8.3238160531685194E-3</c:v>
                </c:pt>
                <c:pt idx="12">
                  <c:v>8.0071398999637215E-3</c:v>
                </c:pt>
                <c:pt idx="13">
                  <c:v>7.701084353653161E-3</c:v>
                </c:pt>
                <c:pt idx="14">
                  <c:v>7.4225481306463992E-3</c:v>
                </c:pt>
                <c:pt idx="15">
                  <c:v>7.1437378759613406E-3</c:v>
                </c:pt>
                <c:pt idx="16">
                  <c:v>6.8449681497998113E-3</c:v>
                </c:pt>
                <c:pt idx="17">
                  <c:v>6.5585318869629226E-3</c:v>
                </c:pt>
                <c:pt idx="18">
                  <c:v>6.3086468338320288E-3</c:v>
                </c:pt>
                <c:pt idx="19">
                  <c:v>6.0687249100240172E-3</c:v>
                </c:pt>
                <c:pt idx="20">
                  <c:v>5.8081978784074329E-3</c:v>
                </c:pt>
                <c:pt idx="21">
                  <c:v>5.582001372853339E-3</c:v>
                </c:pt>
                <c:pt idx="22">
                  <c:v>5.3634902230823922E-3</c:v>
                </c:pt>
                <c:pt idx="23">
                  <c:v>5.1139231953707858E-3</c:v>
                </c:pt>
                <c:pt idx="24">
                  <c:v>4.9341932221916209E-3</c:v>
                </c:pt>
                <c:pt idx="25">
                  <c:v>4.6855409936526586E-3</c:v>
                </c:pt>
                <c:pt idx="26">
                  <c:v>4.5056645659415379E-3</c:v>
                </c:pt>
                <c:pt idx="27">
                  <c:v>4.2594308255692794E-3</c:v>
                </c:pt>
                <c:pt idx="28">
                  <c:v>4.0840439140588077E-3</c:v>
                </c:pt>
                <c:pt idx="29">
                  <c:v>3.9038204374180598E-3</c:v>
                </c:pt>
                <c:pt idx="30">
                  <c:v>3.7182069712034397E-3</c:v>
                </c:pt>
                <c:pt idx="31">
                  <c:v>3.5238703478407919E-3</c:v>
                </c:pt>
                <c:pt idx="32">
                  <c:v>3.3251885276964692E-3</c:v>
                </c:pt>
                <c:pt idx="33">
                  <c:v>3.14034221959829E-3</c:v>
                </c:pt>
                <c:pt idx="34">
                  <c:v>3.0105530119498205E-3</c:v>
                </c:pt>
                <c:pt idx="35">
                  <c:v>2.8507951941078701E-3</c:v>
                </c:pt>
                <c:pt idx="36">
                  <c:v>2.7164719385628288E-3</c:v>
                </c:pt>
                <c:pt idx="37">
                  <c:v>2.5649882537469E-3</c:v>
                </c:pt>
                <c:pt idx="38">
                  <c:v>2.3887775768920184E-3</c:v>
                </c:pt>
                <c:pt idx="39">
                  <c:v>2.2550745803824601E-3</c:v>
                </c:pt>
                <c:pt idx="40">
                  <c:v>2.115895806270111E-3</c:v>
                </c:pt>
                <c:pt idx="41">
                  <c:v>2.0059352924934595E-3</c:v>
                </c:pt>
                <c:pt idx="42">
                  <c:v>1.8364135891346381E-3</c:v>
                </c:pt>
                <c:pt idx="43">
                  <c:v>1.7094878142549222E-3</c:v>
                </c:pt>
                <c:pt idx="44">
                  <c:v>1.5900190795497876E-3</c:v>
                </c:pt>
                <c:pt idx="45">
                  <c:v>1.4940636816958199E-3</c:v>
                </c:pt>
                <c:pt idx="46">
                  <c:v>1.3778877258927994E-3</c:v>
                </c:pt>
                <c:pt idx="47">
                  <c:v>1.2443247211292594E-3</c:v>
                </c:pt>
                <c:pt idx="48">
                  <c:v>1.1455032745074593E-3</c:v>
                </c:pt>
                <c:pt idx="49">
                  <c:v>1.0070666464856819E-3</c:v>
                </c:pt>
                <c:pt idx="50">
                  <c:v>9.3220532832690925E-4</c:v>
                </c:pt>
                <c:pt idx="51">
                  <c:v>8.0355347151834892E-4</c:v>
                </c:pt>
                <c:pt idx="52">
                  <c:v>7.4268644051305333E-4</c:v>
                </c:pt>
                <c:pt idx="53">
                  <c:v>6.3746503604120933E-4</c:v>
                </c:pt>
                <c:pt idx="54">
                  <c:v>4.859129028281714E-4</c:v>
                </c:pt>
                <c:pt idx="55">
                  <c:v>4.2419095902079904E-4</c:v>
                </c:pt>
                <c:pt idx="56">
                  <c:v>3.5839581001541766E-4</c:v>
                </c:pt>
                <c:pt idx="57">
                  <c:v>2.7353105661748981E-4</c:v>
                </c:pt>
                <c:pt idx="58">
                  <c:v>1.7681640469098189E-4</c:v>
                </c:pt>
                <c:pt idx="59">
                  <c:v>9.1280457869658861E-5</c:v>
                </c:pt>
                <c:pt idx="60">
                  <c:v>3.1040160522819403E-5</c:v>
                </c:pt>
                <c:pt idx="61">
                  <c:v>-7.0988735748018193E-5</c:v>
                </c:pt>
                <c:pt idx="62">
                  <c:v>-1.3843704671248971E-4</c:v>
                </c:pt>
                <c:pt idx="63">
                  <c:v>-1.9120434966653915E-4</c:v>
                </c:pt>
                <c:pt idx="64">
                  <c:v>-2.605555151268717E-4</c:v>
                </c:pt>
                <c:pt idx="65">
                  <c:v>-3.3935855335352066E-4</c:v>
                </c:pt>
                <c:pt idx="66">
                  <c:v>-4.0317880913012371E-4</c:v>
                </c:pt>
                <c:pt idx="67">
                  <c:v>-4.566117906994703E-4</c:v>
                </c:pt>
                <c:pt idx="68">
                  <c:v>-5.4879748265416247E-4</c:v>
                </c:pt>
                <c:pt idx="69">
                  <c:v>-6.0588673050950004E-4</c:v>
                </c:pt>
                <c:pt idx="70">
                  <c:v>-6.8887798852604928E-4</c:v>
                </c:pt>
                <c:pt idx="71">
                  <c:v>-7.0756892257056812E-4</c:v>
                </c:pt>
                <c:pt idx="72">
                  <c:v>-7.7977650101550972E-4</c:v>
                </c:pt>
                <c:pt idx="73">
                  <c:v>-8.4846175542757033E-4</c:v>
                </c:pt>
                <c:pt idx="74">
                  <c:v>-9.1844616999652105E-4</c:v>
                </c:pt>
                <c:pt idx="75">
                  <c:v>-9.5164835108917187E-4</c:v>
                </c:pt>
                <c:pt idx="76">
                  <c:v>-1.0048054117881003E-3</c:v>
                </c:pt>
                <c:pt idx="77">
                  <c:v>-1.0488225828135496E-3</c:v>
                </c:pt>
                <c:pt idx="78">
                  <c:v>-1.0942456398241214E-3</c:v>
                </c:pt>
                <c:pt idx="79">
                  <c:v>-1.1577863301287178E-3</c:v>
                </c:pt>
                <c:pt idx="80">
                  <c:v>-1.1899995330660789E-3</c:v>
                </c:pt>
                <c:pt idx="81">
                  <c:v>-1.2549137867322903E-3</c:v>
                </c:pt>
                <c:pt idx="82">
                  <c:v>-1.2742619056616373E-3</c:v>
                </c:pt>
                <c:pt idx="83">
                  <c:v>-1.3327923481647004E-3</c:v>
                </c:pt>
                <c:pt idx="84">
                  <c:v>-1.3546732558543705E-3</c:v>
                </c:pt>
                <c:pt idx="85">
                  <c:v>-1.394058635096152E-3</c:v>
                </c:pt>
                <c:pt idx="86">
                  <c:v>-1.43513038511584E-3</c:v>
                </c:pt>
                <c:pt idx="87">
                  <c:v>-1.4672646058903E-3</c:v>
                </c:pt>
                <c:pt idx="88">
                  <c:v>-1.5182788407684996E-3</c:v>
                </c:pt>
                <c:pt idx="89">
                  <c:v>-1.5510567921172393E-3</c:v>
                </c:pt>
                <c:pt idx="90">
                  <c:v>-1.5785777653126885E-3</c:v>
                </c:pt>
                <c:pt idx="91">
                  <c:v>-1.6232208112924194E-3</c:v>
                </c:pt>
                <c:pt idx="92">
                  <c:v>-1.6182836890472202E-3</c:v>
                </c:pt>
                <c:pt idx="93">
                  <c:v>-1.6648340582829484E-3</c:v>
                </c:pt>
                <c:pt idx="94">
                  <c:v>-1.6921867208727157E-3</c:v>
                </c:pt>
                <c:pt idx="95">
                  <c:v>-1.7464554732614379E-3</c:v>
                </c:pt>
                <c:pt idx="96">
                  <c:v>-1.7142478180691804E-3</c:v>
                </c:pt>
                <c:pt idx="97">
                  <c:v>-1.7592123320716519E-3</c:v>
                </c:pt>
                <c:pt idx="98">
                  <c:v>-1.7894860889960318E-3</c:v>
                </c:pt>
                <c:pt idx="99">
                  <c:v>-1.801621234054189E-3</c:v>
                </c:pt>
                <c:pt idx="100">
                  <c:v>-1.8640730998657302E-3</c:v>
                </c:pt>
                <c:pt idx="101">
                  <c:v>-1.8964230497952005E-3</c:v>
                </c:pt>
                <c:pt idx="102">
                  <c:v>-1.9007331395396697E-3</c:v>
                </c:pt>
                <c:pt idx="103">
                  <c:v>-1.9305594354502775E-3</c:v>
                </c:pt>
                <c:pt idx="104">
                  <c:v>-1.9334897533731504E-3</c:v>
                </c:pt>
                <c:pt idx="105">
                  <c:v>-1.9739336056361087E-3</c:v>
                </c:pt>
                <c:pt idx="106">
                  <c:v>-2.025088892176158E-3</c:v>
                </c:pt>
                <c:pt idx="107">
                  <c:v>-2.0228975238942388E-3</c:v>
                </c:pt>
                <c:pt idx="108">
                  <c:v>-2.0094830258332681E-3</c:v>
                </c:pt>
                <c:pt idx="109">
                  <c:v>-2.0550623459311447E-3</c:v>
                </c:pt>
                <c:pt idx="110">
                  <c:v>-2.063623281512229E-3</c:v>
                </c:pt>
                <c:pt idx="111">
                  <c:v>-2.07902916812382E-3</c:v>
                </c:pt>
                <c:pt idx="112">
                  <c:v>-2.0983937256317123E-3</c:v>
                </c:pt>
                <c:pt idx="113">
                  <c:v>-2.1047162967533679E-3</c:v>
                </c:pt>
                <c:pt idx="114">
                  <c:v>-2.1605542012229735E-3</c:v>
                </c:pt>
                <c:pt idx="115">
                  <c:v>-2.1733419038259989E-3</c:v>
                </c:pt>
                <c:pt idx="116">
                  <c:v>-2.1702408671902011E-3</c:v>
                </c:pt>
                <c:pt idx="117">
                  <c:v>-2.2212524108608028E-3</c:v>
                </c:pt>
                <c:pt idx="118">
                  <c:v>-2.20951075257355E-3</c:v>
                </c:pt>
                <c:pt idx="119">
                  <c:v>-2.2262840401037886E-3</c:v>
                </c:pt>
                <c:pt idx="120">
                  <c:v>-2.2476460760839081E-3</c:v>
                </c:pt>
                <c:pt idx="121">
                  <c:v>-2.238047370228498E-3</c:v>
                </c:pt>
                <c:pt idx="122">
                  <c:v>-2.2679693115876505E-3</c:v>
                </c:pt>
                <c:pt idx="123">
                  <c:v>-2.2551469379907306E-3</c:v>
                </c:pt>
                <c:pt idx="124">
                  <c:v>-2.2766150066407418E-3</c:v>
                </c:pt>
                <c:pt idx="125">
                  <c:v>-2.3003050861584674E-3</c:v>
                </c:pt>
                <c:pt idx="126">
                  <c:v>-2.3072209653697291E-3</c:v>
                </c:pt>
                <c:pt idx="127">
                  <c:v>-2.3015471192445493E-3</c:v>
                </c:pt>
                <c:pt idx="128">
                  <c:v>-2.3141257563167022E-3</c:v>
                </c:pt>
                <c:pt idx="129">
                  <c:v>-2.3226614138893301E-3</c:v>
                </c:pt>
                <c:pt idx="130">
                  <c:v>-2.33475052536953E-3</c:v>
                </c:pt>
                <c:pt idx="131">
                  <c:v>-2.3612816413024051E-3</c:v>
                </c:pt>
                <c:pt idx="132">
                  <c:v>-2.4203804932997793E-3</c:v>
                </c:pt>
                <c:pt idx="133">
                  <c:v>-2.3746901824944584E-3</c:v>
                </c:pt>
                <c:pt idx="134">
                  <c:v>-2.3979848034020078E-3</c:v>
                </c:pt>
                <c:pt idx="135">
                  <c:v>-2.3974578515029692E-3</c:v>
                </c:pt>
                <c:pt idx="136">
                  <c:v>-2.4025673819720586E-3</c:v>
                </c:pt>
                <c:pt idx="137">
                  <c:v>-2.4033743633013298E-3</c:v>
                </c:pt>
                <c:pt idx="138">
                  <c:v>-2.4119277581694E-3</c:v>
                </c:pt>
                <c:pt idx="139">
                  <c:v>-2.4131792874905501E-3</c:v>
                </c:pt>
                <c:pt idx="140">
                  <c:v>-2.4046744346083899E-3</c:v>
                </c:pt>
                <c:pt idx="141">
                  <c:v>-2.4090136196246829E-3</c:v>
                </c:pt>
                <c:pt idx="142">
                  <c:v>-2.4564806171945295E-3</c:v>
                </c:pt>
                <c:pt idx="143">
                  <c:v>-2.431830933959031E-3</c:v>
                </c:pt>
                <c:pt idx="144">
                  <c:v>-2.4365621899153167E-3</c:v>
                </c:pt>
                <c:pt idx="145">
                  <c:v>-2.4400231019234995E-3</c:v>
                </c:pt>
                <c:pt idx="146">
                  <c:v>-2.4543289099463114E-3</c:v>
                </c:pt>
                <c:pt idx="147">
                  <c:v>-2.4414899757976768E-3</c:v>
                </c:pt>
                <c:pt idx="148">
                  <c:v>-2.4740530493415694E-3</c:v>
                </c:pt>
                <c:pt idx="149">
                  <c:v>-2.441832470287242E-3</c:v>
                </c:pt>
                <c:pt idx="150">
                  <c:v>-2.4879654660106823E-3</c:v>
                </c:pt>
                <c:pt idx="151">
                  <c:v>-2.4740141192772505E-3</c:v>
                </c:pt>
                <c:pt idx="152">
                  <c:v>-2.4796611502771806E-3</c:v>
                </c:pt>
                <c:pt idx="153">
                  <c:v>-2.4855942928192166E-3</c:v>
                </c:pt>
                <c:pt idx="154">
                  <c:v>-2.4954299826905222E-3</c:v>
                </c:pt>
                <c:pt idx="155">
                  <c:v>-2.4960854392105693E-3</c:v>
                </c:pt>
                <c:pt idx="156">
                  <c:v>-2.5241008883366174E-3</c:v>
                </c:pt>
                <c:pt idx="157">
                  <c:v>-2.4970611046180634E-3</c:v>
                </c:pt>
                <c:pt idx="158">
                  <c:v>-2.5178486044237286E-3</c:v>
                </c:pt>
                <c:pt idx="159">
                  <c:v>-2.4963301622194295E-3</c:v>
                </c:pt>
                <c:pt idx="160">
                  <c:v>-2.5232046738946669E-3</c:v>
                </c:pt>
                <c:pt idx="161">
                  <c:v>-2.5098884875850904E-3</c:v>
                </c:pt>
                <c:pt idx="162">
                  <c:v>-2.5050910544575809E-3</c:v>
                </c:pt>
                <c:pt idx="163">
                  <c:v>-2.5317876388107532E-3</c:v>
                </c:pt>
                <c:pt idx="164">
                  <c:v>-2.5312973306879727E-3</c:v>
                </c:pt>
                <c:pt idx="165">
                  <c:v>-2.5386445875564536E-3</c:v>
                </c:pt>
                <c:pt idx="166">
                  <c:v>-2.5096464188527597E-3</c:v>
                </c:pt>
                <c:pt idx="167">
                  <c:v>-2.5197416821785079E-3</c:v>
                </c:pt>
                <c:pt idx="168">
                  <c:v>-2.5122314964064196E-3</c:v>
                </c:pt>
                <c:pt idx="169">
                  <c:v>-2.5061878388392984E-3</c:v>
                </c:pt>
                <c:pt idx="170">
                  <c:v>-2.5250131182208693E-3</c:v>
                </c:pt>
                <c:pt idx="171">
                  <c:v>-2.5392176384556667E-3</c:v>
                </c:pt>
                <c:pt idx="172">
                  <c:v>-2.5094654300293791E-3</c:v>
                </c:pt>
                <c:pt idx="173">
                  <c:v>-2.5217499815544022E-3</c:v>
                </c:pt>
                <c:pt idx="174">
                  <c:v>-2.5518034583319454E-3</c:v>
                </c:pt>
                <c:pt idx="175">
                  <c:v>-2.544685188267188E-3</c:v>
                </c:pt>
                <c:pt idx="176">
                  <c:v>-2.5495680059312324E-3</c:v>
                </c:pt>
                <c:pt idx="177">
                  <c:v>-2.5524910687460276E-3</c:v>
                </c:pt>
                <c:pt idx="178">
                  <c:v>-2.5930273375418889E-3</c:v>
                </c:pt>
                <c:pt idx="179">
                  <c:v>-2.603525839603763E-3</c:v>
                </c:pt>
                <c:pt idx="180">
                  <c:v>-2.5804599226334594E-3</c:v>
                </c:pt>
                <c:pt idx="181">
                  <c:v>-2.5740769591015593E-3</c:v>
                </c:pt>
                <c:pt idx="182">
                  <c:v>-2.5804130070059255E-3</c:v>
                </c:pt>
                <c:pt idx="183">
                  <c:v>-2.5742115629049317E-3</c:v>
                </c:pt>
                <c:pt idx="184">
                  <c:v>-2.5852691992827893E-3</c:v>
                </c:pt>
                <c:pt idx="185">
                  <c:v>-2.5903184117023019E-3</c:v>
                </c:pt>
                <c:pt idx="186">
                  <c:v>-2.5639052987365121E-3</c:v>
                </c:pt>
                <c:pt idx="187">
                  <c:v>-2.5994807622104592E-3</c:v>
                </c:pt>
                <c:pt idx="188">
                  <c:v>-2.5893233624183229E-3</c:v>
                </c:pt>
                <c:pt idx="189">
                  <c:v>-2.5951231384063909E-3</c:v>
                </c:pt>
                <c:pt idx="190">
                  <c:v>-2.5686306497912518E-3</c:v>
                </c:pt>
                <c:pt idx="191">
                  <c:v>-2.5743032170884497E-3</c:v>
                </c:pt>
                <c:pt idx="192">
                  <c:v>-2.5910554209687287E-3</c:v>
                </c:pt>
                <c:pt idx="193">
                  <c:v>-2.5872971327652516E-3</c:v>
                </c:pt>
                <c:pt idx="194">
                  <c:v>-2.6222889048950837E-3</c:v>
                </c:pt>
                <c:pt idx="195">
                  <c:v>-2.5948474272833935E-3</c:v>
                </c:pt>
                <c:pt idx="196">
                  <c:v>-2.6048532484859496E-3</c:v>
                </c:pt>
                <c:pt idx="197">
                  <c:v>-2.5973141377106084E-3</c:v>
                </c:pt>
                <c:pt idx="198">
                  <c:v>-2.5829704493854277E-3</c:v>
                </c:pt>
                <c:pt idx="199">
                  <c:v>-2.5846306905021104E-3</c:v>
                </c:pt>
                <c:pt idx="200">
                  <c:v>-2.61008431967805E-3</c:v>
                </c:pt>
                <c:pt idx="201">
                  <c:v>-2.6088119332305856E-3</c:v>
                </c:pt>
                <c:pt idx="202">
                  <c:v>-2.6136561371117098E-3</c:v>
                </c:pt>
                <c:pt idx="203">
                  <c:v>-2.6250895828514795E-3</c:v>
                </c:pt>
                <c:pt idx="204">
                  <c:v>-2.6124715983993699E-3</c:v>
                </c:pt>
                <c:pt idx="205">
                  <c:v>-2.5881577683493492E-3</c:v>
                </c:pt>
                <c:pt idx="206">
                  <c:v>-2.5822384718018889E-3</c:v>
                </c:pt>
                <c:pt idx="207">
                  <c:v>-2.5929822617472356E-3</c:v>
                </c:pt>
                <c:pt idx="208">
                  <c:v>-2.5855218766519814E-3</c:v>
                </c:pt>
                <c:pt idx="209">
                  <c:v>-2.5801731563108998E-3</c:v>
                </c:pt>
                <c:pt idx="210">
                  <c:v>-2.5767919623573823E-3</c:v>
                </c:pt>
                <c:pt idx="211">
                  <c:v>-2.5682376241281798E-3</c:v>
                </c:pt>
                <c:pt idx="212">
                  <c:v>-2.6008493364563963E-3</c:v>
                </c:pt>
                <c:pt idx="213">
                  <c:v>-2.6354557656662189E-3</c:v>
                </c:pt>
                <c:pt idx="214">
                  <c:v>-2.5898943983267593E-3</c:v>
                </c:pt>
                <c:pt idx="215">
                  <c:v>-2.5806168441125706E-3</c:v>
                </c:pt>
                <c:pt idx="216">
                  <c:v>-2.5938090841545998E-3</c:v>
                </c:pt>
                <c:pt idx="217">
                  <c:v>-2.6175964271556214E-3</c:v>
                </c:pt>
                <c:pt idx="218">
                  <c:v>-2.614713415334491E-3</c:v>
                </c:pt>
                <c:pt idx="219">
                  <c:v>-2.5772835450606759E-3</c:v>
                </c:pt>
                <c:pt idx="220">
                  <c:v>-2.6022057268728594E-3</c:v>
                </c:pt>
                <c:pt idx="221">
                  <c:v>-2.5918864227962397E-3</c:v>
                </c:pt>
                <c:pt idx="222">
                  <c:v>-2.5940698490203411E-3</c:v>
                </c:pt>
                <c:pt idx="223">
                  <c:v>-2.6041745224542187E-3</c:v>
                </c:pt>
                <c:pt idx="224">
                  <c:v>-2.6200869810418422E-3</c:v>
                </c:pt>
                <c:pt idx="225">
                  <c:v>-2.5794382846319342E-3</c:v>
                </c:pt>
                <c:pt idx="226">
                  <c:v>-2.5619959370358101E-3</c:v>
                </c:pt>
                <c:pt idx="227">
                  <c:v>-2.5809170834279549E-3</c:v>
                </c:pt>
                <c:pt idx="228">
                  <c:v>-2.5917932960860413E-3</c:v>
                </c:pt>
                <c:pt idx="229">
                  <c:v>-2.5599310512531802E-3</c:v>
                </c:pt>
                <c:pt idx="230">
                  <c:v>-2.5861735037543739E-3</c:v>
                </c:pt>
                <c:pt idx="231">
                  <c:v>-2.5948105901646683E-3</c:v>
                </c:pt>
                <c:pt idx="232">
                  <c:v>-2.5923881312809489E-3</c:v>
                </c:pt>
                <c:pt idx="233">
                  <c:v>-2.6159542730109682E-3</c:v>
                </c:pt>
                <c:pt idx="234">
                  <c:v>-2.6036846808538414E-3</c:v>
                </c:pt>
                <c:pt idx="235">
                  <c:v>-2.6240759420480533E-3</c:v>
                </c:pt>
                <c:pt idx="236">
                  <c:v>-2.6032689255065635E-3</c:v>
                </c:pt>
                <c:pt idx="237">
                  <c:v>-2.5787208438801191E-3</c:v>
                </c:pt>
                <c:pt idx="238">
                  <c:v>-2.5975926946715392E-3</c:v>
                </c:pt>
                <c:pt idx="239">
                  <c:v>-2.5977088304208334E-3</c:v>
                </c:pt>
                <c:pt idx="240">
                  <c:v>-2.6121130926450194E-3</c:v>
                </c:pt>
                <c:pt idx="241">
                  <c:v>-2.6142103699489071E-3</c:v>
                </c:pt>
                <c:pt idx="242">
                  <c:v>-2.6111315649337396E-3</c:v>
                </c:pt>
                <c:pt idx="243">
                  <c:v>-2.621455813830869E-3</c:v>
                </c:pt>
                <c:pt idx="244">
                  <c:v>-2.6116550908322289E-3</c:v>
                </c:pt>
                <c:pt idx="245">
                  <c:v>-2.6456472704150785E-3</c:v>
                </c:pt>
                <c:pt idx="246">
                  <c:v>-2.6202229752219147E-3</c:v>
                </c:pt>
                <c:pt idx="247">
                  <c:v>-2.6098219530996218E-3</c:v>
                </c:pt>
                <c:pt idx="248">
                  <c:v>-2.5948204903454087E-3</c:v>
                </c:pt>
                <c:pt idx="249">
                  <c:v>-2.6034801342001406E-3</c:v>
                </c:pt>
                <c:pt idx="250">
                  <c:v>-2.6166114016906985E-3</c:v>
                </c:pt>
                <c:pt idx="251">
                  <c:v>-2.5963842535448355E-3</c:v>
                </c:pt>
                <c:pt idx="252">
                  <c:v>-2.5783761515375883E-3</c:v>
                </c:pt>
                <c:pt idx="253">
                  <c:v>-2.615079500981176E-3</c:v>
                </c:pt>
                <c:pt idx="254">
                  <c:v>-2.5915934674007801E-3</c:v>
                </c:pt>
                <c:pt idx="255">
                  <c:v>-2.6236356002412092E-3</c:v>
                </c:pt>
                <c:pt idx="256">
                  <c:v>-2.6081787966742093E-3</c:v>
                </c:pt>
                <c:pt idx="257">
                  <c:v>-2.6165840472466059E-3</c:v>
                </c:pt>
                <c:pt idx="258">
                  <c:v>-2.6293488422814678E-3</c:v>
                </c:pt>
                <c:pt idx="259">
                  <c:v>-2.6191752121460191E-3</c:v>
                </c:pt>
                <c:pt idx="260">
                  <c:v>-2.657343475193137E-3</c:v>
                </c:pt>
                <c:pt idx="261">
                  <c:v>-2.6106602576760488E-3</c:v>
                </c:pt>
                <c:pt idx="262">
                  <c:v>-2.5981279427397599E-3</c:v>
                </c:pt>
                <c:pt idx="263">
                  <c:v>-2.6149576468433586E-3</c:v>
                </c:pt>
                <c:pt idx="264">
                  <c:v>-2.5956137742703805E-3</c:v>
                </c:pt>
                <c:pt idx="265">
                  <c:v>-2.594172328343235E-3</c:v>
                </c:pt>
                <c:pt idx="266">
                  <c:v>-2.6274262444196395E-3</c:v>
                </c:pt>
                <c:pt idx="267">
                  <c:v>-2.5774875506322705E-3</c:v>
                </c:pt>
                <c:pt idx="268">
                  <c:v>-2.5973625024139722E-3</c:v>
                </c:pt>
                <c:pt idx="269">
                  <c:v>-2.5964545338814119E-3</c:v>
                </c:pt>
                <c:pt idx="270">
                  <c:v>-2.5974889617074292E-3</c:v>
                </c:pt>
                <c:pt idx="271">
                  <c:v>-2.5787994416268606E-3</c:v>
                </c:pt>
                <c:pt idx="272">
                  <c:v>-2.59102200872944E-3</c:v>
                </c:pt>
                <c:pt idx="273">
                  <c:v>-2.5714925614966407E-3</c:v>
                </c:pt>
                <c:pt idx="274">
                  <c:v>-2.6101222803737402E-3</c:v>
                </c:pt>
                <c:pt idx="275">
                  <c:v>-2.6119154733524001E-3</c:v>
                </c:pt>
                <c:pt idx="276">
                  <c:v>-2.5696279935567218E-3</c:v>
                </c:pt>
                <c:pt idx="277">
                  <c:v>-2.6003943033052427E-3</c:v>
                </c:pt>
                <c:pt idx="278">
                  <c:v>-2.5456049298441825E-3</c:v>
                </c:pt>
                <c:pt idx="279">
                  <c:v>-2.5669323076003203E-3</c:v>
                </c:pt>
                <c:pt idx="280">
                  <c:v>-2.6114872889474909E-3</c:v>
                </c:pt>
                <c:pt idx="281">
                  <c:v>-2.5967237002666871E-3</c:v>
                </c:pt>
                <c:pt idx="282">
                  <c:v>-2.584667022741835E-3</c:v>
                </c:pt>
                <c:pt idx="283">
                  <c:v>-2.5921804835087325E-3</c:v>
                </c:pt>
                <c:pt idx="284">
                  <c:v>-2.5654826924640965E-3</c:v>
                </c:pt>
                <c:pt idx="285">
                  <c:v>-2.5494647070446064E-3</c:v>
                </c:pt>
                <c:pt idx="286">
                  <c:v>-2.56389324541799E-3</c:v>
                </c:pt>
                <c:pt idx="287">
                  <c:v>-2.5696602729394225E-3</c:v>
                </c:pt>
                <c:pt idx="288">
                  <c:v>-2.5910574298794913E-3</c:v>
                </c:pt>
                <c:pt idx="289">
                  <c:v>-2.5567262993611926E-3</c:v>
                </c:pt>
                <c:pt idx="290">
                  <c:v>-2.5649018409886057E-3</c:v>
                </c:pt>
                <c:pt idx="291">
                  <c:v>-2.5817877435752624E-3</c:v>
                </c:pt>
                <c:pt idx="292">
                  <c:v>-2.5700586888061198E-3</c:v>
                </c:pt>
                <c:pt idx="293">
                  <c:v>-2.5568748139684827E-3</c:v>
                </c:pt>
                <c:pt idx="294">
                  <c:v>-2.5339495554068218E-3</c:v>
                </c:pt>
                <c:pt idx="295">
                  <c:v>-2.5191150554371095E-3</c:v>
                </c:pt>
                <c:pt idx="296">
                  <c:v>-2.5528152730350936E-3</c:v>
                </c:pt>
                <c:pt idx="297">
                  <c:v>-2.5819801182262519E-3</c:v>
                </c:pt>
                <c:pt idx="298">
                  <c:v>-2.5467309081458854E-3</c:v>
                </c:pt>
                <c:pt idx="299">
                  <c:v>-2.5702665060832004E-3</c:v>
                </c:pt>
                <c:pt idx="300">
                  <c:v>-2.5948360983875998E-3</c:v>
                </c:pt>
                <c:pt idx="301">
                  <c:v>-2.5587019593517188E-3</c:v>
                </c:pt>
                <c:pt idx="302">
                  <c:v>-2.5286106597540376E-3</c:v>
                </c:pt>
                <c:pt idx="303">
                  <c:v>-2.5831900691145691E-3</c:v>
                </c:pt>
                <c:pt idx="304">
                  <c:v>-2.5698945778703979E-3</c:v>
                </c:pt>
                <c:pt idx="305">
                  <c:v>-2.5886470212288506E-3</c:v>
                </c:pt>
                <c:pt idx="306">
                  <c:v>-2.6066014878117875E-3</c:v>
                </c:pt>
                <c:pt idx="307">
                  <c:v>-2.5495266465430395E-3</c:v>
                </c:pt>
                <c:pt idx="308">
                  <c:v>-2.575722904583755E-3</c:v>
                </c:pt>
                <c:pt idx="309">
                  <c:v>-2.5673604422470665E-3</c:v>
                </c:pt>
                <c:pt idx="310">
                  <c:v>-2.5596540333520691E-3</c:v>
                </c:pt>
                <c:pt idx="311">
                  <c:v>-2.5510188145472582E-3</c:v>
                </c:pt>
                <c:pt idx="312">
                  <c:v>-2.5683625092083927E-3</c:v>
                </c:pt>
                <c:pt idx="313">
                  <c:v>-2.57751867616084E-3</c:v>
                </c:pt>
                <c:pt idx="314">
                  <c:v>-2.5989899845513288E-3</c:v>
                </c:pt>
                <c:pt idx="315">
                  <c:v>-2.5774091661591473E-3</c:v>
                </c:pt>
                <c:pt idx="316">
                  <c:v>-2.579795075025532E-3</c:v>
                </c:pt>
                <c:pt idx="317">
                  <c:v>-2.5548977705564793E-3</c:v>
                </c:pt>
                <c:pt idx="318">
                  <c:v>-2.5635372598200364E-3</c:v>
                </c:pt>
                <c:pt idx="319">
                  <c:v>-2.5590348028850136E-3</c:v>
                </c:pt>
                <c:pt idx="320">
                  <c:v>-2.6129679679602535E-3</c:v>
                </c:pt>
                <c:pt idx="321">
                  <c:v>-2.5981851692713906E-3</c:v>
                </c:pt>
                <c:pt idx="322">
                  <c:v>-2.5938684111918402E-3</c:v>
                </c:pt>
                <c:pt idx="323">
                  <c:v>-2.5779967708614701E-3</c:v>
                </c:pt>
                <c:pt idx="324">
                  <c:v>-2.5956548624734895E-3</c:v>
                </c:pt>
                <c:pt idx="325">
                  <c:v>-2.5833569885100622E-3</c:v>
                </c:pt>
                <c:pt idx="326">
                  <c:v>-2.5861081403989314E-3</c:v>
                </c:pt>
                <c:pt idx="327">
                  <c:v>-2.5650651525373318E-3</c:v>
                </c:pt>
                <c:pt idx="328">
                  <c:v>-2.5824082261392172E-3</c:v>
                </c:pt>
                <c:pt idx="329">
                  <c:v>-2.5405573068675693E-3</c:v>
                </c:pt>
                <c:pt idx="330">
                  <c:v>-2.5641411632486826E-3</c:v>
                </c:pt>
                <c:pt idx="331">
                  <c:v>-2.5479665067988403E-3</c:v>
                </c:pt>
                <c:pt idx="332">
                  <c:v>-2.5415706315224914E-3</c:v>
                </c:pt>
                <c:pt idx="333">
                  <c:v>-2.537953700598259E-3</c:v>
                </c:pt>
                <c:pt idx="334">
                  <c:v>-2.5832230752305492E-3</c:v>
                </c:pt>
                <c:pt idx="335">
                  <c:v>-2.5263900755411513E-3</c:v>
                </c:pt>
                <c:pt idx="336">
                  <c:v>-2.5676383585961039E-3</c:v>
                </c:pt>
                <c:pt idx="337">
                  <c:v>-2.613247215037218E-3</c:v>
                </c:pt>
                <c:pt idx="338">
                  <c:v>-2.6047870289116603E-3</c:v>
                </c:pt>
                <c:pt idx="339">
                  <c:v>-2.5614621205186988E-3</c:v>
                </c:pt>
                <c:pt idx="340">
                  <c:v>-2.5895657108417E-3</c:v>
                </c:pt>
                <c:pt idx="341">
                  <c:v>-2.5551364132034389E-3</c:v>
                </c:pt>
                <c:pt idx="342">
                  <c:v>-2.5470686561820995E-3</c:v>
                </c:pt>
                <c:pt idx="343">
                  <c:v>-2.5508284924849788E-3</c:v>
                </c:pt>
                <c:pt idx="344">
                  <c:v>-2.5735689928058992E-3</c:v>
                </c:pt>
                <c:pt idx="345">
                  <c:v>-2.556881594434921E-3</c:v>
                </c:pt>
                <c:pt idx="346">
                  <c:v>-2.5528169371203191E-3</c:v>
                </c:pt>
                <c:pt idx="347">
                  <c:v>-2.5794279016654919E-3</c:v>
                </c:pt>
                <c:pt idx="348">
                  <c:v>-2.5752129760336223E-3</c:v>
                </c:pt>
                <c:pt idx="349">
                  <c:v>-2.5671169738515276E-3</c:v>
                </c:pt>
                <c:pt idx="350">
                  <c:v>-2.5285391163680018E-3</c:v>
                </c:pt>
                <c:pt idx="351">
                  <c:v>-2.5456197119258289E-3</c:v>
                </c:pt>
                <c:pt idx="352">
                  <c:v>-2.5330418822004305E-3</c:v>
                </c:pt>
                <c:pt idx="353">
                  <c:v>-2.5474555339111702E-3</c:v>
                </c:pt>
                <c:pt idx="354">
                  <c:v>-2.5044145902000511E-3</c:v>
                </c:pt>
                <c:pt idx="355">
                  <c:v>-2.5295320200785128E-3</c:v>
                </c:pt>
                <c:pt idx="356">
                  <c:v>-2.557345764800714E-3</c:v>
                </c:pt>
                <c:pt idx="357">
                  <c:v>-2.5878172742266276E-3</c:v>
                </c:pt>
                <c:pt idx="358">
                  <c:v>-2.6228699661401842E-3</c:v>
                </c:pt>
                <c:pt idx="359">
                  <c:v>-2.532577104530009E-3</c:v>
                </c:pt>
                <c:pt idx="360">
                  <c:v>-2.5538052614790408E-3</c:v>
                </c:pt>
                <c:pt idx="361">
                  <c:v>-2.60545361255911E-3</c:v>
                </c:pt>
                <c:pt idx="362">
                  <c:v>-2.55468224580225E-3</c:v>
                </c:pt>
                <c:pt idx="363">
                  <c:v>-2.5028597052369917E-3</c:v>
                </c:pt>
                <c:pt idx="364">
                  <c:v>-2.5200593738342793E-3</c:v>
                </c:pt>
                <c:pt idx="365">
                  <c:v>-2.5467143373349606E-3</c:v>
                </c:pt>
                <c:pt idx="366">
                  <c:v>-2.5163273940675308E-3</c:v>
                </c:pt>
                <c:pt idx="367">
                  <c:v>-2.5479275430778207E-3</c:v>
                </c:pt>
                <c:pt idx="368">
                  <c:v>-2.5441197614872457E-3</c:v>
                </c:pt>
                <c:pt idx="369">
                  <c:v>-2.5494705715304201E-3</c:v>
                </c:pt>
                <c:pt idx="370">
                  <c:v>-2.5993169807173632E-3</c:v>
                </c:pt>
                <c:pt idx="371">
                  <c:v>-2.6230539674365512E-3</c:v>
                </c:pt>
                <c:pt idx="372">
                  <c:v>-2.5886098074428734E-3</c:v>
                </c:pt>
                <c:pt idx="373">
                  <c:v>-2.5803951981570577E-3</c:v>
                </c:pt>
                <c:pt idx="374">
                  <c:v>-2.5515347629209541E-3</c:v>
                </c:pt>
                <c:pt idx="375">
                  <c:v>-2.5838329162350092E-3</c:v>
                </c:pt>
                <c:pt idx="376">
                  <c:v>-2.5606487335201001E-3</c:v>
                </c:pt>
                <c:pt idx="377">
                  <c:v>-2.5673827473892599E-3</c:v>
                </c:pt>
                <c:pt idx="378">
                  <c:v>-2.5824114983265803E-3</c:v>
                </c:pt>
                <c:pt idx="379">
                  <c:v>-2.5798998229305389E-3</c:v>
                </c:pt>
                <c:pt idx="380">
                  <c:v>-2.5502706627460233E-3</c:v>
                </c:pt>
                <c:pt idx="381">
                  <c:v>-2.5478853608878879E-3</c:v>
                </c:pt>
                <c:pt idx="382">
                  <c:v>-2.5349265924842629E-3</c:v>
                </c:pt>
                <c:pt idx="383">
                  <c:v>-2.5165152528871804E-3</c:v>
                </c:pt>
                <c:pt idx="384">
                  <c:v>-2.5952324852137098E-3</c:v>
                </c:pt>
                <c:pt idx="385">
                  <c:v>-2.5362337799813162E-3</c:v>
                </c:pt>
                <c:pt idx="386">
                  <c:v>-2.5035221583355706E-3</c:v>
                </c:pt>
                <c:pt idx="387">
                  <c:v>-2.4879870748748308E-3</c:v>
                </c:pt>
                <c:pt idx="388">
                  <c:v>-2.5737392348197117E-3</c:v>
                </c:pt>
                <c:pt idx="389">
                  <c:v>-2.513216071821458E-3</c:v>
                </c:pt>
                <c:pt idx="390">
                  <c:v>-2.5113223333292026E-3</c:v>
                </c:pt>
                <c:pt idx="391">
                  <c:v>-2.5339846752906311E-3</c:v>
                </c:pt>
                <c:pt idx="392">
                  <c:v>-2.4781564707730599E-3</c:v>
                </c:pt>
                <c:pt idx="393">
                  <c:v>-2.5146824560815986E-3</c:v>
                </c:pt>
                <c:pt idx="394">
                  <c:v>-2.5836860188067018E-3</c:v>
                </c:pt>
                <c:pt idx="395">
                  <c:v>-2.6224237116457896E-3</c:v>
                </c:pt>
                <c:pt idx="396">
                  <c:v>-2.4938284649329099E-3</c:v>
                </c:pt>
                <c:pt idx="397">
                  <c:v>-2.5754572380321892E-3</c:v>
                </c:pt>
                <c:pt idx="398">
                  <c:v>-2.518923233577058E-3</c:v>
                </c:pt>
                <c:pt idx="399">
                  <c:v>-2.5695660978926893E-3</c:v>
                </c:pt>
                <c:pt idx="400">
                  <c:v>-2.4667827244651674E-3</c:v>
                </c:pt>
                <c:pt idx="401">
                  <c:v>-2.651778604252631E-3</c:v>
                </c:pt>
                <c:pt idx="402">
                  <c:v>-2.5461806146493265E-3</c:v>
                </c:pt>
                <c:pt idx="403">
                  <c:v>-2.5278904009137645E-3</c:v>
                </c:pt>
                <c:pt idx="404">
                  <c:v>-2.5266596374056097E-3</c:v>
                </c:pt>
                <c:pt idx="405">
                  <c:v>-2.5085220925971027E-3</c:v>
                </c:pt>
                <c:pt idx="406">
                  <c:v>-2.5600168818424914E-3</c:v>
                </c:pt>
                <c:pt idx="407">
                  <c:v>-2.5229184916989306E-3</c:v>
                </c:pt>
                <c:pt idx="408">
                  <c:v>-2.5533398341603796E-3</c:v>
                </c:pt>
                <c:pt idx="409">
                  <c:v>-2.5853532446555106E-3</c:v>
                </c:pt>
                <c:pt idx="410">
                  <c:v>-2.5311330093056722E-3</c:v>
                </c:pt>
                <c:pt idx="411">
                  <c:v>-2.5428795096382089E-3</c:v>
                </c:pt>
                <c:pt idx="412">
                  <c:v>-2.5722411813861538E-3</c:v>
                </c:pt>
                <c:pt idx="413">
                  <c:v>-2.531773846091212E-3</c:v>
                </c:pt>
                <c:pt idx="414">
                  <c:v>-2.5609359907380613E-3</c:v>
                </c:pt>
                <c:pt idx="415">
                  <c:v>-2.5955875340431204E-3</c:v>
                </c:pt>
                <c:pt idx="416">
                  <c:v>-2.5760368675588263E-3</c:v>
                </c:pt>
                <c:pt idx="417">
                  <c:v>-2.6050643148354561E-3</c:v>
                </c:pt>
                <c:pt idx="418">
                  <c:v>-2.6140791389651875E-3</c:v>
                </c:pt>
                <c:pt idx="419">
                  <c:v>-2.6144581099473881E-3</c:v>
                </c:pt>
                <c:pt idx="420">
                  <c:v>-2.6032613941953595E-3</c:v>
                </c:pt>
                <c:pt idx="421">
                  <c:v>-2.5590056038455574E-3</c:v>
                </c:pt>
                <c:pt idx="422">
                  <c:v>-2.5821092207920834E-3</c:v>
                </c:pt>
                <c:pt idx="423">
                  <c:v>-2.6048879100864491E-3</c:v>
                </c:pt>
                <c:pt idx="424">
                  <c:v>-2.5409096536846715E-3</c:v>
                </c:pt>
                <c:pt idx="425">
                  <c:v>-2.5486757081835823E-3</c:v>
                </c:pt>
                <c:pt idx="426">
                  <c:v>-2.5680009299204123E-3</c:v>
                </c:pt>
                <c:pt idx="427">
                  <c:v>-2.6426061151536189E-3</c:v>
                </c:pt>
                <c:pt idx="428">
                  <c:v>-2.5827096500964384E-3</c:v>
                </c:pt>
                <c:pt idx="429">
                  <c:v>-2.5068517211203995E-3</c:v>
                </c:pt>
                <c:pt idx="430">
                  <c:v>-2.6162308930025675E-3</c:v>
                </c:pt>
                <c:pt idx="431">
                  <c:v>-2.5614243675898367E-3</c:v>
                </c:pt>
                <c:pt idx="432">
                  <c:v>-2.4933638988293471E-3</c:v>
                </c:pt>
                <c:pt idx="433">
                  <c:v>-2.6129002925327606E-3</c:v>
                </c:pt>
                <c:pt idx="434">
                  <c:v>-2.5956082910970494E-3</c:v>
                </c:pt>
                <c:pt idx="435">
                  <c:v>-2.5728917174988796E-3</c:v>
                </c:pt>
                <c:pt idx="436">
                  <c:v>-2.6230560683061814E-3</c:v>
                </c:pt>
                <c:pt idx="437">
                  <c:v>-2.562012701002119E-3</c:v>
                </c:pt>
                <c:pt idx="438">
                  <c:v>-2.5531861758084379E-3</c:v>
                </c:pt>
                <c:pt idx="439">
                  <c:v>-2.5898761167427202E-3</c:v>
                </c:pt>
                <c:pt idx="440">
                  <c:v>-2.5078707033607817E-3</c:v>
                </c:pt>
                <c:pt idx="441">
                  <c:v>-2.4673608318384324E-3</c:v>
                </c:pt>
                <c:pt idx="442">
                  <c:v>-2.6419665908192008E-3</c:v>
                </c:pt>
                <c:pt idx="443">
                  <c:v>-2.5666172573697889E-3</c:v>
                </c:pt>
                <c:pt idx="444">
                  <c:v>-2.5008891584640709E-3</c:v>
                </c:pt>
                <c:pt idx="445">
                  <c:v>-2.5198443760248383E-3</c:v>
                </c:pt>
                <c:pt idx="446">
                  <c:v>-2.5550571755746506E-3</c:v>
                </c:pt>
                <c:pt idx="447">
                  <c:v>-2.5294784250478883E-3</c:v>
                </c:pt>
                <c:pt idx="448">
                  <c:v>-2.5659104186181603E-3</c:v>
                </c:pt>
                <c:pt idx="449">
                  <c:v>-2.5224970628920859E-3</c:v>
                </c:pt>
                <c:pt idx="450">
                  <c:v>-2.5695064666245021E-3</c:v>
                </c:pt>
                <c:pt idx="451">
                  <c:v>-2.6149801131741431E-3</c:v>
                </c:pt>
                <c:pt idx="452">
                  <c:v>-2.5969262169162916E-3</c:v>
                </c:pt>
                <c:pt idx="453">
                  <c:v>-2.582201490077771E-3</c:v>
                </c:pt>
                <c:pt idx="454">
                  <c:v>-2.6881033435585885E-3</c:v>
                </c:pt>
                <c:pt idx="455">
                  <c:v>-2.5823419799479424E-3</c:v>
                </c:pt>
                <c:pt idx="456">
                  <c:v>-2.5432343725285706E-3</c:v>
                </c:pt>
                <c:pt idx="457">
                  <c:v>-2.7768281811792299E-3</c:v>
                </c:pt>
                <c:pt idx="458">
                  <c:v>-2.6285391246860818E-3</c:v>
                </c:pt>
                <c:pt idx="459">
                  <c:v>-2.2993919505845829E-3</c:v>
                </c:pt>
                <c:pt idx="460">
                  <c:v>-2.5158909131476215E-3</c:v>
                </c:pt>
                <c:pt idx="461">
                  <c:v>-2.5186563588955845E-3</c:v>
                </c:pt>
                <c:pt idx="462">
                  <c:v>-2.4753566841539797E-3</c:v>
                </c:pt>
                <c:pt idx="463">
                  <c:v>-2.5307631380582559E-3</c:v>
                </c:pt>
                <c:pt idx="464">
                  <c:v>-2.5404523057197745E-3</c:v>
                </c:pt>
                <c:pt idx="465">
                  <c:v>-2.5854825826699401E-3</c:v>
                </c:pt>
                <c:pt idx="466">
                  <c:v>-2.5778570515844808E-3</c:v>
                </c:pt>
                <c:pt idx="467">
                  <c:v>-2.566536718301508E-3</c:v>
                </c:pt>
                <c:pt idx="468">
                  <c:v>-2.6260852483345597E-3</c:v>
                </c:pt>
                <c:pt idx="469">
                  <c:v>-2.6787785833608906E-3</c:v>
                </c:pt>
                <c:pt idx="470">
                  <c:v>-2.5074474737224427E-3</c:v>
                </c:pt>
                <c:pt idx="471">
                  <c:v>-2.5574568978858382E-3</c:v>
                </c:pt>
                <c:pt idx="472">
                  <c:v>-2.6730972272972827E-3</c:v>
                </c:pt>
                <c:pt idx="473">
                  <c:v>-2.5150501027099009E-3</c:v>
                </c:pt>
                <c:pt idx="474">
                  <c:v>-2.4022452791495393E-3</c:v>
                </c:pt>
                <c:pt idx="475">
                  <c:v>-2.4358016830645802E-3</c:v>
                </c:pt>
                <c:pt idx="476">
                  <c:v>-2.5799878328354384E-3</c:v>
                </c:pt>
                <c:pt idx="477">
                  <c:v>-2.8258342013335602E-3</c:v>
                </c:pt>
                <c:pt idx="478">
                  <c:v>-2.5411026631000418E-3</c:v>
                </c:pt>
                <c:pt idx="479">
                  <c:v>-2.7692441247724377E-3</c:v>
                </c:pt>
                <c:pt idx="480">
                  <c:v>-2.4785560613503795E-3</c:v>
                </c:pt>
                <c:pt idx="481">
                  <c:v>-2.5536637040162995E-3</c:v>
                </c:pt>
                <c:pt idx="482">
                  <c:v>-2.7211385090392306E-3</c:v>
                </c:pt>
                <c:pt idx="483">
                  <c:v>-2.3972621307091508E-3</c:v>
                </c:pt>
                <c:pt idx="484">
                  <c:v>-2.6306436830518167E-3</c:v>
                </c:pt>
                <c:pt idx="485">
                  <c:v>-2.5455307047034526E-3</c:v>
                </c:pt>
                <c:pt idx="486">
                  <c:v>-2.5112989668061598E-3</c:v>
                </c:pt>
                <c:pt idx="487">
                  <c:v>-2.5622393275587189E-3</c:v>
                </c:pt>
                <c:pt idx="488">
                  <c:v>-2.5788445322577364E-3</c:v>
                </c:pt>
                <c:pt idx="489">
                  <c:v>-2.5332955729034899E-3</c:v>
                </c:pt>
                <c:pt idx="490">
                  <c:v>-2.5326900886961309E-3</c:v>
                </c:pt>
                <c:pt idx="491">
                  <c:v>-2.623369646362235E-3</c:v>
                </c:pt>
                <c:pt idx="492">
                  <c:v>-2.5211913771917577E-3</c:v>
                </c:pt>
                <c:pt idx="493">
                  <c:v>-2.6867509629349799E-3</c:v>
                </c:pt>
                <c:pt idx="494">
                  <c:v>-2.3242494636271007E-3</c:v>
                </c:pt>
                <c:pt idx="495">
                  <c:v>-2.6871952642636299E-3</c:v>
                </c:pt>
                <c:pt idx="496">
                  <c:v>-2.726129105767602E-3</c:v>
                </c:pt>
                <c:pt idx="497">
                  <c:v>-2.8004188646970022E-3</c:v>
                </c:pt>
                <c:pt idx="498">
                  <c:v>-2.8133762198870975E-3</c:v>
                </c:pt>
                <c:pt idx="499">
                  <c:v>-2.6981265984950039E-3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8BE5-4DCC-894F-30239D9D2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scatterChart>
        <c:scatterStyle val="smoothMarker"/>
        <c:varyColors val="0"/>
        <c:ser>
          <c:idx val="1"/>
          <c:order val="1"/>
          <c:tx>
            <c:v>Phase</c:v>
          </c:tx>
          <c:xVal>
            <c:numRef>
              <c:f>'GAIN vs FREQ'!$S$5:$S$504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FREQ'!$V$5:$V$504</c:f>
              <c:numCache>
                <c:formatCode>General</c:formatCode>
                <c:ptCount val="500"/>
                <c:pt idx="0">
                  <c:v>-0.52390040578177399</c:v>
                </c:pt>
                <c:pt idx="1">
                  <c:v>-0.51616990259537898</c:v>
                </c:pt>
                <c:pt idx="2">
                  <c:v>-0.50934206706466501</c:v>
                </c:pt>
                <c:pt idx="3">
                  <c:v>-0.50158755727636606</c:v>
                </c:pt>
                <c:pt idx="4">
                  <c:v>-0.494339874241291</c:v>
                </c:pt>
                <c:pt idx="5">
                  <c:v>-0.48709529136857599</c:v>
                </c:pt>
                <c:pt idx="6">
                  <c:v>-0.48055993664007685</c:v>
                </c:pt>
                <c:pt idx="7">
                  <c:v>-0.47386221747609608</c:v>
                </c:pt>
                <c:pt idx="8">
                  <c:v>-0.46612591205422393</c:v>
                </c:pt>
                <c:pt idx="9">
                  <c:v>-0.46005606203902999</c:v>
                </c:pt>
                <c:pt idx="10">
                  <c:v>-0.45360083998980405</c:v>
                </c:pt>
                <c:pt idx="11">
                  <c:v>-0.44693011399391497</c:v>
                </c:pt>
                <c:pt idx="12">
                  <c:v>-0.44045967949097087</c:v>
                </c:pt>
                <c:pt idx="13">
                  <c:v>-0.43441694087908889</c:v>
                </c:pt>
                <c:pt idx="14">
                  <c:v>-0.42834367838850085</c:v>
                </c:pt>
                <c:pt idx="15">
                  <c:v>-0.42224588130829888</c:v>
                </c:pt>
                <c:pt idx="16">
                  <c:v>-0.41650884334552485</c:v>
                </c:pt>
                <c:pt idx="17">
                  <c:v>-0.40981329058888594</c:v>
                </c:pt>
                <c:pt idx="18">
                  <c:v>-0.40430866503817209</c:v>
                </c:pt>
                <c:pt idx="19">
                  <c:v>-0.39849317052357902</c:v>
                </c:pt>
                <c:pt idx="20">
                  <c:v>-0.39300984853485893</c:v>
                </c:pt>
                <c:pt idx="21">
                  <c:v>-0.38743150746148602</c:v>
                </c:pt>
                <c:pt idx="22">
                  <c:v>-0.38253108245726203</c:v>
                </c:pt>
                <c:pt idx="23">
                  <c:v>-0.37651199808749403</c:v>
                </c:pt>
                <c:pt idx="24">
                  <c:v>-0.37127921607731201</c:v>
                </c:pt>
                <c:pt idx="25">
                  <c:v>-0.36630219133849101</c:v>
                </c:pt>
                <c:pt idx="26">
                  <c:v>-0.36071444463658497</c:v>
                </c:pt>
                <c:pt idx="27">
                  <c:v>-0.35568754419421106</c:v>
                </c:pt>
                <c:pt idx="28">
                  <c:v>-0.35080192834396895</c:v>
                </c:pt>
                <c:pt idx="29">
                  <c:v>-0.34625188924974298</c:v>
                </c:pt>
                <c:pt idx="30">
                  <c:v>-0.34170799695152698</c:v>
                </c:pt>
                <c:pt idx="31">
                  <c:v>-0.33635358466318599</c:v>
                </c:pt>
                <c:pt idx="32">
                  <c:v>-0.33127916766028398</c:v>
                </c:pt>
                <c:pt idx="33">
                  <c:v>-0.32701766302324092</c:v>
                </c:pt>
                <c:pt idx="34">
                  <c:v>-0.32264506091519202</c:v>
                </c:pt>
                <c:pt idx="35">
                  <c:v>-0.31769825368400001</c:v>
                </c:pt>
                <c:pt idx="36">
                  <c:v>-0.31359913728618999</c:v>
                </c:pt>
                <c:pt idx="37">
                  <c:v>-0.30932135283433093</c:v>
                </c:pt>
                <c:pt idx="38">
                  <c:v>-0.30435062819196901</c:v>
                </c:pt>
                <c:pt idx="39">
                  <c:v>-0.30084694742322399</c:v>
                </c:pt>
                <c:pt idx="40">
                  <c:v>-0.296265382707531</c:v>
                </c:pt>
                <c:pt idx="41">
                  <c:v>-0.29230629297148902</c:v>
                </c:pt>
                <c:pt idx="42">
                  <c:v>-0.28791826655242397</c:v>
                </c:pt>
                <c:pt idx="43">
                  <c:v>-0.28429513581033894</c:v>
                </c:pt>
                <c:pt idx="44">
                  <c:v>-0.280302767352055</c:v>
                </c:pt>
                <c:pt idx="45">
                  <c:v>-0.27607521661605</c:v>
                </c:pt>
                <c:pt idx="46">
                  <c:v>-0.27214549338810906</c:v>
                </c:pt>
                <c:pt idx="47">
                  <c:v>-0.26819263272159288</c:v>
                </c:pt>
                <c:pt idx="48">
                  <c:v>-0.26485569800911396</c:v>
                </c:pt>
                <c:pt idx="49">
                  <c:v>-0.26094345555242204</c:v>
                </c:pt>
                <c:pt idx="50">
                  <c:v>-0.257461944991974</c:v>
                </c:pt>
                <c:pt idx="51">
                  <c:v>-0.253720822494586</c:v>
                </c:pt>
                <c:pt idx="52">
                  <c:v>-0.25073929992458899</c:v>
                </c:pt>
                <c:pt idx="53">
                  <c:v>-0.24678414785643091</c:v>
                </c:pt>
                <c:pt idx="54">
                  <c:v>-0.24316708599116094</c:v>
                </c:pt>
                <c:pt idx="55">
                  <c:v>-0.239797721555703</c:v>
                </c:pt>
                <c:pt idx="56">
                  <c:v>-0.23671376365854296</c:v>
                </c:pt>
                <c:pt idx="57">
                  <c:v>-0.23345347636433197</c:v>
                </c:pt>
                <c:pt idx="58">
                  <c:v>-0.23028675983766797</c:v>
                </c:pt>
                <c:pt idx="59">
                  <c:v>-0.226825119890918</c:v>
                </c:pt>
                <c:pt idx="60">
                  <c:v>-0.223711311648401</c:v>
                </c:pt>
                <c:pt idx="61">
                  <c:v>-0.22047323875295896</c:v>
                </c:pt>
                <c:pt idx="62">
                  <c:v>-0.21801911122656698</c:v>
                </c:pt>
                <c:pt idx="63">
                  <c:v>-0.21469006074346503</c:v>
                </c:pt>
                <c:pt idx="64">
                  <c:v>-0.21169253698889201</c:v>
                </c:pt>
                <c:pt idx="65">
                  <c:v>-0.20864623188793999</c:v>
                </c:pt>
                <c:pt idx="66">
                  <c:v>-0.20579060396181598</c:v>
                </c:pt>
                <c:pt idx="67">
                  <c:v>-0.2031300570913</c:v>
                </c:pt>
                <c:pt idx="68">
                  <c:v>-0.20009309308079501</c:v>
                </c:pt>
                <c:pt idx="69">
                  <c:v>-0.19775994284418597</c:v>
                </c:pt>
                <c:pt idx="70">
                  <c:v>-0.19448488327691396</c:v>
                </c:pt>
                <c:pt idx="71">
                  <c:v>-0.19235495759676291</c:v>
                </c:pt>
                <c:pt idx="72">
                  <c:v>-0.18947432987215504</c:v>
                </c:pt>
                <c:pt idx="73">
                  <c:v>-0.18696984330517799</c:v>
                </c:pt>
                <c:pt idx="74">
                  <c:v>-0.18379515758942896</c:v>
                </c:pt>
                <c:pt idx="75">
                  <c:v>-0.18197935537420998</c:v>
                </c:pt>
                <c:pt idx="76">
                  <c:v>-0.17910800011407002</c:v>
                </c:pt>
                <c:pt idx="77">
                  <c:v>-0.176775821186993</c:v>
                </c:pt>
                <c:pt idx="78">
                  <c:v>-0.17406616129437699</c:v>
                </c:pt>
                <c:pt idx="79">
                  <c:v>-0.171774240992079</c:v>
                </c:pt>
                <c:pt idx="80">
                  <c:v>-0.16935231719082799</c:v>
                </c:pt>
                <c:pt idx="81">
                  <c:v>-0.16686677713289599</c:v>
                </c:pt>
                <c:pt idx="82">
                  <c:v>-0.16438806287919802</c:v>
                </c:pt>
                <c:pt idx="83">
                  <c:v>-0.16241578562807002</c:v>
                </c:pt>
                <c:pt idx="84">
                  <c:v>-0.159943697525364</c:v>
                </c:pt>
                <c:pt idx="85">
                  <c:v>-0.15811699644694999</c:v>
                </c:pt>
                <c:pt idx="86">
                  <c:v>-0.15588220506799599</c:v>
                </c:pt>
                <c:pt idx="87">
                  <c:v>-0.15362827588671699</c:v>
                </c:pt>
                <c:pt idx="88">
                  <c:v>-0.15167910069823201</c:v>
                </c:pt>
                <c:pt idx="89">
                  <c:v>-0.14919745290785599</c:v>
                </c:pt>
                <c:pt idx="90">
                  <c:v>-0.14726252006181501</c:v>
                </c:pt>
                <c:pt idx="91">
                  <c:v>-0.14501826198937798</c:v>
                </c:pt>
                <c:pt idx="92">
                  <c:v>-0.14372965395040199</c:v>
                </c:pt>
                <c:pt idx="93">
                  <c:v>-0.14146457092562098</c:v>
                </c:pt>
                <c:pt idx="94">
                  <c:v>-0.139126422597315</c:v>
                </c:pt>
                <c:pt idx="95">
                  <c:v>-0.13757482860103201</c:v>
                </c:pt>
                <c:pt idx="96">
                  <c:v>-0.13565745045536901</c:v>
                </c:pt>
                <c:pt idx="97">
                  <c:v>-0.13359911317672898</c:v>
                </c:pt>
                <c:pt idx="98">
                  <c:v>-0.13235227939623001</c:v>
                </c:pt>
                <c:pt idx="99">
                  <c:v>-0.13015746996029501</c:v>
                </c:pt>
                <c:pt idx="100">
                  <c:v>-0.12827807799226301</c:v>
                </c:pt>
                <c:pt idx="101">
                  <c:v>-0.12661053372852396</c:v>
                </c:pt>
                <c:pt idx="102">
                  <c:v>-0.12490670436801601</c:v>
                </c:pt>
                <c:pt idx="103">
                  <c:v>-0.12341911369463801</c:v>
                </c:pt>
                <c:pt idx="104">
                  <c:v>-0.121052862134889</c:v>
                </c:pt>
                <c:pt idx="105">
                  <c:v>-0.11937613671045699</c:v>
                </c:pt>
                <c:pt idx="106">
                  <c:v>-0.11794453002522701</c:v>
                </c:pt>
                <c:pt idx="107">
                  <c:v>-0.11638012748255699</c:v>
                </c:pt>
                <c:pt idx="108">
                  <c:v>-0.11458289526774498</c:v>
                </c:pt>
                <c:pt idx="109">
                  <c:v>-0.113261874890384</c:v>
                </c:pt>
                <c:pt idx="110">
                  <c:v>-0.11172296456641102</c:v>
                </c:pt>
                <c:pt idx="111">
                  <c:v>-0.10970886267784899</c:v>
                </c:pt>
                <c:pt idx="112">
                  <c:v>-0.10873185621784401</c:v>
                </c:pt>
                <c:pt idx="113">
                  <c:v>-0.107111365793173</c:v>
                </c:pt>
                <c:pt idx="114">
                  <c:v>-0.10565620515291103</c:v>
                </c:pt>
                <c:pt idx="115">
                  <c:v>-0.104116784934376</c:v>
                </c:pt>
                <c:pt idx="116">
                  <c:v>-0.10253401268875</c:v>
                </c:pt>
                <c:pt idx="117">
                  <c:v>-0.10161459811064302</c:v>
                </c:pt>
                <c:pt idx="118">
                  <c:v>-9.9419392657011871E-2</c:v>
                </c:pt>
                <c:pt idx="119">
                  <c:v>-9.8592840259982481E-2</c:v>
                </c:pt>
                <c:pt idx="120">
                  <c:v>-9.6751338146702878E-2</c:v>
                </c:pt>
                <c:pt idx="121">
                  <c:v>-9.5789676060064666E-2</c:v>
                </c:pt>
                <c:pt idx="122">
                  <c:v>-9.4729389079361681E-2</c:v>
                </c:pt>
                <c:pt idx="123">
                  <c:v>-9.3208646241009788E-2</c:v>
                </c:pt>
                <c:pt idx="124">
                  <c:v>-9.2141837236226806E-2</c:v>
                </c:pt>
                <c:pt idx="125">
                  <c:v>-9.0536379061632019E-2</c:v>
                </c:pt>
                <c:pt idx="126">
                  <c:v>-8.9878541644679899E-2</c:v>
                </c:pt>
                <c:pt idx="127">
                  <c:v>-8.8359461019479099E-2</c:v>
                </c:pt>
                <c:pt idx="128">
                  <c:v>-8.696114311612739E-2</c:v>
                </c:pt>
                <c:pt idx="129">
                  <c:v>-8.5725335784900381E-2</c:v>
                </c:pt>
                <c:pt idx="130">
                  <c:v>-8.5013009951694599E-2</c:v>
                </c:pt>
                <c:pt idx="131">
                  <c:v>-8.3189714812704096E-2</c:v>
                </c:pt>
                <c:pt idx="132">
                  <c:v>-8.2336829343546483E-2</c:v>
                </c:pt>
                <c:pt idx="133">
                  <c:v>-8.1125139958828626E-2</c:v>
                </c:pt>
                <c:pt idx="134">
                  <c:v>-8.0048061857496591E-2</c:v>
                </c:pt>
                <c:pt idx="135">
                  <c:v>-7.8794982374631686E-2</c:v>
                </c:pt>
                <c:pt idx="136">
                  <c:v>-7.7588933600111376E-2</c:v>
                </c:pt>
                <c:pt idx="137">
                  <c:v>-7.6845607781308403E-2</c:v>
                </c:pt>
                <c:pt idx="138">
                  <c:v>-7.5555445118766315E-2</c:v>
                </c:pt>
                <c:pt idx="139">
                  <c:v>-7.4603560291393478E-2</c:v>
                </c:pt>
                <c:pt idx="140">
                  <c:v>-7.3681662673323003E-2</c:v>
                </c:pt>
                <c:pt idx="141">
                  <c:v>-7.2656620315399309E-2</c:v>
                </c:pt>
                <c:pt idx="142">
                  <c:v>-7.146535646188569E-2</c:v>
                </c:pt>
                <c:pt idx="143">
                  <c:v>-7.0632246021261794E-2</c:v>
                </c:pt>
                <c:pt idx="144">
                  <c:v>-6.9924016542415798E-2</c:v>
                </c:pt>
                <c:pt idx="145">
                  <c:v>-6.8460714013554011E-2</c:v>
                </c:pt>
                <c:pt idx="146">
                  <c:v>-6.7966851675578296E-2</c:v>
                </c:pt>
                <c:pt idx="147">
                  <c:v>-6.6963240160930582E-2</c:v>
                </c:pt>
                <c:pt idx="148">
                  <c:v>-6.5970365101122808E-2</c:v>
                </c:pt>
                <c:pt idx="149">
                  <c:v>-6.5046884518665082E-2</c:v>
                </c:pt>
                <c:pt idx="150">
                  <c:v>-6.4614181041747501E-2</c:v>
                </c:pt>
                <c:pt idx="151">
                  <c:v>-6.3192622531687392E-2</c:v>
                </c:pt>
                <c:pt idx="152">
                  <c:v>-6.2394722885983397E-2</c:v>
                </c:pt>
                <c:pt idx="153">
                  <c:v>-6.1363133539828099E-2</c:v>
                </c:pt>
                <c:pt idx="154">
                  <c:v>-6.109664500445431E-2</c:v>
                </c:pt>
                <c:pt idx="155">
                  <c:v>-6.0223065778018288E-2</c:v>
                </c:pt>
                <c:pt idx="156">
                  <c:v>-5.8472937528620185E-2</c:v>
                </c:pt>
                <c:pt idx="157">
                  <c:v>-5.7829955645558997E-2</c:v>
                </c:pt>
                <c:pt idx="158">
                  <c:v>-5.757639664807359E-2</c:v>
                </c:pt>
                <c:pt idx="159">
                  <c:v>-5.6882673603070096E-2</c:v>
                </c:pt>
                <c:pt idx="160">
                  <c:v>-5.5835706055518096E-2</c:v>
                </c:pt>
                <c:pt idx="161">
                  <c:v>-5.5127382902412599E-2</c:v>
                </c:pt>
                <c:pt idx="162">
                  <c:v>-5.4216921537374681E-2</c:v>
                </c:pt>
                <c:pt idx="163">
                  <c:v>-5.3716967898537901E-2</c:v>
                </c:pt>
                <c:pt idx="164">
                  <c:v>-5.2808427467141407E-2</c:v>
                </c:pt>
                <c:pt idx="165">
                  <c:v>-5.2395793356538399E-2</c:v>
                </c:pt>
                <c:pt idx="166">
                  <c:v>-5.1782445844821702E-2</c:v>
                </c:pt>
                <c:pt idx="167">
                  <c:v>-5.0435920036363803E-2</c:v>
                </c:pt>
                <c:pt idx="168">
                  <c:v>-5.0184222200869003E-2</c:v>
                </c:pt>
                <c:pt idx="169">
                  <c:v>-4.9392250426535604E-2</c:v>
                </c:pt>
                <c:pt idx="170">
                  <c:v>-4.8410199286991001E-2</c:v>
                </c:pt>
                <c:pt idx="171">
                  <c:v>-4.7860662511709499E-2</c:v>
                </c:pt>
                <c:pt idx="172">
                  <c:v>-4.7380400133363303E-2</c:v>
                </c:pt>
                <c:pt idx="173">
                  <c:v>-4.6356015997503199E-2</c:v>
                </c:pt>
                <c:pt idx="174">
                  <c:v>-4.5585742760749788E-2</c:v>
                </c:pt>
                <c:pt idx="175">
                  <c:v>-4.5470981025914597E-2</c:v>
                </c:pt>
                <c:pt idx="176">
                  <c:v>-4.4919134608505801E-2</c:v>
                </c:pt>
                <c:pt idx="177">
                  <c:v>-4.4384739003078301E-2</c:v>
                </c:pt>
                <c:pt idx="178">
                  <c:v>-4.3537942038085503E-2</c:v>
                </c:pt>
                <c:pt idx="179">
                  <c:v>-4.3136070790637901E-2</c:v>
                </c:pt>
                <c:pt idx="180">
                  <c:v>-4.2373005121078215E-2</c:v>
                </c:pt>
                <c:pt idx="181">
                  <c:v>-4.1897042715220316E-2</c:v>
                </c:pt>
                <c:pt idx="182">
                  <c:v>-4.1114888736387904E-2</c:v>
                </c:pt>
                <c:pt idx="183">
                  <c:v>-4.0586938545288803E-2</c:v>
                </c:pt>
                <c:pt idx="184">
                  <c:v>-4.0322285388242597E-2</c:v>
                </c:pt>
                <c:pt idx="185">
                  <c:v>-3.9317677350709297E-2</c:v>
                </c:pt>
                <c:pt idx="186">
                  <c:v>-3.9102461906111295E-2</c:v>
                </c:pt>
                <c:pt idx="187">
                  <c:v>-3.8920559915140991E-2</c:v>
                </c:pt>
                <c:pt idx="188">
                  <c:v>-3.7966940482647295E-2</c:v>
                </c:pt>
                <c:pt idx="189">
                  <c:v>-3.737933592003629E-2</c:v>
                </c:pt>
                <c:pt idx="190">
                  <c:v>-3.6855633483867202E-2</c:v>
                </c:pt>
                <c:pt idx="191">
                  <c:v>-3.6244326813232398E-2</c:v>
                </c:pt>
                <c:pt idx="192">
                  <c:v>-3.5799806447130295E-2</c:v>
                </c:pt>
                <c:pt idx="193">
                  <c:v>-3.5173501916744995E-2</c:v>
                </c:pt>
                <c:pt idx="194">
                  <c:v>-3.4883105653079803E-2</c:v>
                </c:pt>
                <c:pt idx="195">
                  <c:v>-3.4586489744469893E-2</c:v>
                </c:pt>
                <c:pt idx="196">
                  <c:v>-3.3894061360456397E-2</c:v>
                </c:pt>
                <c:pt idx="197">
                  <c:v>-3.3885578114791308E-2</c:v>
                </c:pt>
                <c:pt idx="198">
                  <c:v>-3.3006440780468403E-2</c:v>
                </c:pt>
                <c:pt idx="199">
                  <c:v>-3.2897465801681798E-2</c:v>
                </c:pt>
                <c:pt idx="200">
                  <c:v>-3.2144336119529292E-2</c:v>
                </c:pt>
                <c:pt idx="201">
                  <c:v>-3.1532534425082297E-2</c:v>
                </c:pt>
                <c:pt idx="202">
                  <c:v>-3.1554769604667902E-2</c:v>
                </c:pt>
                <c:pt idx="203">
                  <c:v>-3.0806087740984402E-2</c:v>
                </c:pt>
                <c:pt idx="204">
                  <c:v>-3.03192220808342E-2</c:v>
                </c:pt>
                <c:pt idx="205">
                  <c:v>-3.0087878893027699E-2</c:v>
                </c:pt>
                <c:pt idx="206">
                  <c:v>-2.9849061827633201E-2</c:v>
                </c:pt>
                <c:pt idx="207">
                  <c:v>-2.8998128166563199E-2</c:v>
                </c:pt>
                <c:pt idx="208">
                  <c:v>-2.8990621462867201E-2</c:v>
                </c:pt>
                <c:pt idx="209">
                  <c:v>-2.8549718589999901E-2</c:v>
                </c:pt>
                <c:pt idx="210">
                  <c:v>-2.7895374538729801E-2</c:v>
                </c:pt>
                <c:pt idx="211">
                  <c:v>-2.76529622542512E-2</c:v>
                </c:pt>
                <c:pt idx="212">
                  <c:v>-2.6827442463172705E-2</c:v>
                </c:pt>
                <c:pt idx="213">
                  <c:v>-2.7047933536721299E-2</c:v>
                </c:pt>
                <c:pt idx="214">
                  <c:v>-2.6470500504899516E-2</c:v>
                </c:pt>
                <c:pt idx="215">
                  <c:v>-2.6012402787785001E-2</c:v>
                </c:pt>
                <c:pt idx="216">
                  <c:v>-2.5930948116865696E-2</c:v>
                </c:pt>
                <c:pt idx="217">
                  <c:v>-2.52219801108708E-2</c:v>
                </c:pt>
                <c:pt idx="218">
                  <c:v>-2.5261412337499688E-2</c:v>
                </c:pt>
                <c:pt idx="219">
                  <c:v>-2.414747498932E-2</c:v>
                </c:pt>
                <c:pt idx="220">
                  <c:v>-2.4206225635907689E-2</c:v>
                </c:pt>
                <c:pt idx="221">
                  <c:v>-2.4532984480970296E-2</c:v>
                </c:pt>
                <c:pt idx="222">
                  <c:v>-2.3757359413480096E-2</c:v>
                </c:pt>
                <c:pt idx="223">
                  <c:v>-2.3438621381899297E-2</c:v>
                </c:pt>
                <c:pt idx="224">
                  <c:v>-2.3242749916732901E-2</c:v>
                </c:pt>
                <c:pt idx="225">
                  <c:v>-2.2989285728044703E-2</c:v>
                </c:pt>
                <c:pt idx="226">
                  <c:v>-2.22699071634338E-2</c:v>
                </c:pt>
                <c:pt idx="227">
                  <c:v>-2.2041467312476505E-2</c:v>
                </c:pt>
                <c:pt idx="228">
                  <c:v>-2.1857938436710401E-2</c:v>
                </c:pt>
                <c:pt idx="229">
                  <c:v>-2.1573899396003099E-2</c:v>
                </c:pt>
                <c:pt idx="230">
                  <c:v>-2.12661337189388E-2</c:v>
                </c:pt>
                <c:pt idx="231">
                  <c:v>-2.1146693281878001E-2</c:v>
                </c:pt>
                <c:pt idx="232">
                  <c:v>-2.0562762096915294E-2</c:v>
                </c:pt>
                <c:pt idx="233">
                  <c:v>-2.0133018054877997E-2</c:v>
                </c:pt>
                <c:pt idx="234">
                  <c:v>-2.0320172361493905E-2</c:v>
                </c:pt>
                <c:pt idx="235">
                  <c:v>-1.9553566190381799E-2</c:v>
                </c:pt>
                <c:pt idx="236">
                  <c:v>-1.9541517216452999E-2</c:v>
                </c:pt>
                <c:pt idx="237">
                  <c:v>-1.9135012366120901E-2</c:v>
                </c:pt>
                <c:pt idx="238">
                  <c:v>-1.8953887267969094E-2</c:v>
                </c:pt>
                <c:pt idx="239">
                  <c:v>-1.8681022660587101E-2</c:v>
                </c:pt>
                <c:pt idx="240">
                  <c:v>-1.83974500521344E-2</c:v>
                </c:pt>
                <c:pt idx="241">
                  <c:v>-1.7765147957390995E-2</c:v>
                </c:pt>
                <c:pt idx="242">
                  <c:v>-1.7983544119317699E-2</c:v>
                </c:pt>
                <c:pt idx="243">
                  <c:v>-1.7710317335001901E-2</c:v>
                </c:pt>
                <c:pt idx="244">
                  <c:v>-1.7597107244739601E-2</c:v>
                </c:pt>
                <c:pt idx="245">
                  <c:v>-1.7376468153258898E-2</c:v>
                </c:pt>
                <c:pt idx="246">
                  <c:v>-1.70309410422647E-2</c:v>
                </c:pt>
                <c:pt idx="247">
                  <c:v>-1.67189515327664E-2</c:v>
                </c:pt>
                <c:pt idx="248">
                  <c:v>-1.6195650277268197E-2</c:v>
                </c:pt>
                <c:pt idx="249">
                  <c:v>-1.6030406753429802E-2</c:v>
                </c:pt>
                <c:pt idx="250">
                  <c:v>-1.5760890570447803E-2</c:v>
                </c:pt>
                <c:pt idx="251">
                  <c:v>-1.5686331848598901E-2</c:v>
                </c:pt>
                <c:pt idx="252">
                  <c:v>-1.5575211853786203E-2</c:v>
                </c:pt>
                <c:pt idx="253">
                  <c:v>-1.5551478166969401E-2</c:v>
                </c:pt>
                <c:pt idx="254">
                  <c:v>-1.4948744397486302E-2</c:v>
                </c:pt>
                <c:pt idx="255">
                  <c:v>-1.5274198948873196E-2</c:v>
                </c:pt>
                <c:pt idx="256">
                  <c:v>-1.49872260815869E-2</c:v>
                </c:pt>
                <c:pt idx="257">
                  <c:v>-1.4617352307595899E-2</c:v>
                </c:pt>
                <c:pt idx="258">
                  <c:v>-1.46478630329625E-2</c:v>
                </c:pt>
                <c:pt idx="259">
                  <c:v>-1.4321218362738398E-2</c:v>
                </c:pt>
                <c:pt idx="260">
                  <c:v>-1.4173785825562399E-2</c:v>
                </c:pt>
                <c:pt idx="261">
                  <c:v>-1.3838714268899798E-2</c:v>
                </c:pt>
                <c:pt idx="262">
                  <c:v>-1.35291712346657E-2</c:v>
                </c:pt>
                <c:pt idx="263">
                  <c:v>-1.3457343787251799E-2</c:v>
                </c:pt>
                <c:pt idx="264">
                  <c:v>-1.3070743664513905E-2</c:v>
                </c:pt>
                <c:pt idx="265">
                  <c:v>-1.28685452907007E-2</c:v>
                </c:pt>
                <c:pt idx="266">
                  <c:v>-1.2544253974908801E-2</c:v>
                </c:pt>
                <c:pt idx="267">
                  <c:v>-1.24123735910189E-2</c:v>
                </c:pt>
                <c:pt idx="268">
                  <c:v>-1.2267583882589901E-2</c:v>
                </c:pt>
                <c:pt idx="269">
                  <c:v>-1.2147129726258799E-2</c:v>
                </c:pt>
                <c:pt idx="270">
                  <c:v>-1.2358535237296998E-2</c:v>
                </c:pt>
                <c:pt idx="271">
                  <c:v>-1.23529201649148E-2</c:v>
                </c:pt>
                <c:pt idx="272">
                  <c:v>-1.1562300810396699E-2</c:v>
                </c:pt>
                <c:pt idx="273">
                  <c:v>-1.1614234725357199E-2</c:v>
                </c:pt>
                <c:pt idx="274">
                  <c:v>-1.1501895199217E-2</c:v>
                </c:pt>
                <c:pt idx="275">
                  <c:v>-1.11375888734528E-2</c:v>
                </c:pt>
                <c:pt idx="276">
                  <c:v>-1.1041312598081301E-2</c:v>
                </c:pt>
                <c:pt idx="277">
                  <c:v>-1.1010245429417899E-2</c:v>
                </c:pt>
                <c:pt idx="278">
                  <c:v>-1.0848206651985501E-2</c:v>
                </c:pt>
                <c:pt idx="279">
                  <c:v>-1.07871322522328E-2</c:v>
                </c:pt>
                <c:pt idx="280">
                  <c:v>-1.0756233213044199E-2</c:v>
                </c:pt>
                <c:pt idx="281">
                  <c:v>-1.0477711541852799E-2</c:v>
                </c:pt>
                <c:pt idx="282">
                  <c:v>-1.0577808612310899E-2</c:v>
                </c:pt>
                <c:pt idx="283">
                  <c:v>-1.03271226772677E-2</c:v>
                </c:pt>
                <c:pt idx="284">
                  <c:v>-9.85670356664059E-3</c:v>
                </c:pt>
                <c:pt idx="285">
                  <c:v>-9.8280271282646919E-3</c:v>
                </c:pt>
                <c:pt idx="286">
                  <c:v>-9.9309562439202567E-3</c:v>
                </c:pt>
                <c:pt idx="287">
                  <c:v>-9.7798637491450808E-3</c:v>
                </c:pt>
                <c:pt idx="288">
                  <c:v>-9.6543830433120075E-3</c:v>
                </c:pt>
                <c:pt idx="289">
                  <c:v>-9.2565864945299819E-3</c:v>
                </c:pt>
                <c:pt idx="290">
                  <c:v>-9.3142636264360607E-3</c:v>
                </c:pt>
                <c:pt idx="291">
                  <c:v>-9.04394311868373E-3</c:v>
                </c:pt>
                <c:pt idx="292">
                  <c:v>-9.2866376973006481E-3</c:v>
                </c:pt>
                <c:pt idx="293">
                  <c:v>-9.2951211579475074E-3</c:v>
                </c:pt>
                <c:pt idx="294">
                  <c:v>-8.8007082408694277E-3</c:v>
                </c:pt>
                <c:pt idx="295">
                  <c:v>-8.3994203292832009E-3</c:v>
                </c:pt>
                <c:pt idx="296">
                  <c:v>-8.1672735269648893E-3</c:v>
                </c:pt>
                <c:pt idx="297">
                  <c:v>-8.1492825140117003E-3</c:v>
                </c:pt>
                <c:pt idx="298">
                  <c:v>-8.2169231806119587E-3</c:v>
                </c:pt>
                <c:pt idx="299">
                  <c:v>-8.0054067383343881E-3</c:v>
                </c:pt>
                <c:pt idx="300">
                  <c:v>-7.9762208829947685E-3</c:v>
                </c:pt>
                <c:pt idx="301">
                  <c:v>-8.0290058821219576E-3</c:v>
                </c:pt>
                <c:pt idx="302">
                  <c:v>-7.7579304152095583E-3</c:v>
                </c:pt>
                <c:pt idx="303">
                  <c:v>-8.1162842432149791E-3</c:v>
                </c:pt>
                <c:pt idx="304">
                  <c:v>-7.7165230386526682E-3</c:v>
                </c:pt>
                <c:pt idx="305">
                  <c:v>-7.6441402787281723E-3</c:v>
                </c:pt>
                <c:pt idx="306">
                  <c:v>-7.3030852676652094E-3</c:v>
                </c:pt>
                <c:pt idx="307">
                  <c:v>-7.4097686482446079E-3</c:v>
                </c:pt>
                <c:pt idx="308">
                  <c:v>-7.1269750597480197E-3</c:v>
                </c:pt>
                <c:pt idx="309">
                  <c:v>-7.6579792747679676E-3</c:v>
                </c:pt>
                <c:pt idx="310">
                  <c:v>-6.8327927486961917E-3</c:v>
                </c:pt>
                <c:pt idx="311">
                  <c:v>-6.6402689265032686E-3</c:v>
                </c:pt>
                <c:pt idx="312">
                  <c:v>-6.8584956586619219E-3</c:v>
                </c:pt>
                <c:pt idx="313">
                  <c:v>-6.6062975504337391E-3</c:v>
                </c:pt>
                <c:pt idx="314">
                  <c:v>-6.8803231142169404E-3</c:v>
                </c:pt>
                <c:pt idx="315">
                  <c:v>-6.6358154510339782E-3</c:v>
                </c:pt>
                <c:pt idx="316">
                  <c:v>-6.4451876986026998E-3</c:v>
                </c:pt>
                <c:pt idx="317">
                  <c:v>-6.3717558750795425E-3</c:v>
                </c:pt>
                <c:pt idx="318">
                  <c:v>-6.3704363629426596E-3</c:v>
                </c:pt>
                <c:pt idx="319">
                  <c:v>-6.2245563373153397E-3</c:v>
                </c:pt>
                <c:pt idx="320">
                  <c:v>-6.2017390089863502E-3</c:v>
                </c:pt>
                <c:pt idx="321">
                  <c:v>-5.914042045787939E-3</c:v>
                </c:pt>
                <c:pt idx="322">
                  <c:v>-5.9170670037929085E-3</c:v>
                </c:pt>
                <c:pt idx="323">
                  <c:v>-6.0386312590026085E-3</c:v>
                </c:pt>
                <c:pt idx="324">
                  <c:v>-5.6558457869755295E-3</c:v>
                </c:pt>
                <c:pt idx="325">
                  <c:v>-5.799518565595462E-3</c:v>
                </c:pt>
                <c:pt idx="326">
                  <c:v>-5.8524894183165097E-3</c:v>
                </c:pt>
                <c:pt idx="327">
                  <c:v>-5.7262173995695784E-3</c:v>
                </c:pt>
                <c:pt idx="328">
                  <c:v>-5.344356111493199E-3</c:v>
                </c:pt>
                <c:pt idx="329">
                  <c:v>-4.9261286725936796E-3</c:v>
                </c:pt>
                <c:pt idx="330">
                  <c:v>-5.4530731185877803E-3</c:v>
                </c:pt>
                <c:pt idx="331">
                  <c:v>-5.2606975912681282E-3</c:v>
                </c:pt>
                <c:pt idx="332">
                  <c:v>-5.2469596762989602E-3</c:v>
                </c:pt>
                <c:pt idx="333">
                  <c:v>-5.251079802519599E-3</c:v>
                </c:pt>
                <c:pt idx="334">
                  <c:v>-4.9236754841785997E-3</c:v>
                </c:pt>
                <c:pt idx="335">
                  <c:v>-4.9810615067826802E-3</c:v>
                </c:pt>
                <c:pt idx="336">
                  <c:v>-4.610776747028921E-3</c:v>
                </c:pt>
                <c:pt idx="337">
                  <c:v>-4.8649155182829409E-3</c:v>
                </c:pt>
                <c:pt idx="338">
                  <c:v>-4.9039499654668396E-3</c:v>
                </c:pt>
                <c:pt idx="339">
                  <c:v>-4.5948246118428003E-3</c:v>
                </c:pt>
                <c:pt idx="340">
                  <c:v>-4.55121226400479E-3</c:v>
                </c:pt>
                <c:pt idx="341">
                  <c:v>-4.8462863916256486E-3</c:v>
                </c:pt>
                <c:pt idx="342">
                  <c:v>-4.4151279050197402E-3</c:v>
                </c:pt>
                <c:pt idx="343">
                  <c:v>-4.6805873893163196E-3</c:v>
                </c:pt>
                <c:pt idx="344">
                  <c:v>-4.5512135836247589E-3</c:v>
                </c:pt>
                <c:pt idx="345">
                  <c:v>-4.2448911812016385E-3</c:v>
                </c:pt>
                <c:pt idx="346">
                  <c:v>-4.0964616352425799E-3</c:v>
                </c:pt>
                <c:pt idx="347">
                  <c:v>-3.6489929618710401E-3</c:v>
                </c:pt>
                <c:pt idx="348">
                  <c:v>-3.9961347047778898E-3</c:v>
                </c:pt>
                <c:pt idx="349">
                  <c:v>-3.9928613699657901E-3</c:v>
                </c:pt>
                <c:pt idx="350">
                  <c:v>-4.2194197498588402E-3</c:v>
                </c:pt>
                <c:pt idx="351">
                  <c:v>-4.1078843984223602E-3</c:v>
                </c:pt>
                <c:pt idx="352">
                  <c:v>-4.1169391801645404E-3</c:v>
                </c:pt>
                <c:pt idx="353">
                  <c:v>-3.6506227972381601E-3</c:v>
                </c:pt>
                <c:pt idx="354">
                  <c:v>-3.9971844998945016E-3</c:v>
                </c:pt>
                <c:pt idx="355">
                  <c:v>-3.8357896354455105E-3</c:v>
                </c:pt>
                <c:pt idx="356">
                  <c:v>-3.6784136677283598E-3</c:v>
                </c:pt>
                <c:pt idx="357">
                  <c:v>-3.5965005743037186E-3</c:v>
                </c:pt>
                <c:pt idx="358">
                  <c:v>-3.7595295028722804E-3</c:v>
                </c:pt>
                <c:pt idx="359">
                  <c:v>-3.434617790389889E-3</c:v>
                </c:pt>
                <c:pt idx="360">
                  <c:v>-2.9179458203429896E-3</c:v>
                </c:pt>
                <c:pt idx="361">
                  <c:v>-3.4779960382138597E-3</c:v>
                </c:pt>
                <c:pt idx="362">
                  <c:v>-3.5702916913464798E-3</c:v>
                </c:pt>
                <c:pt idx="363">
                  <c:v>-3.6499715873219403E-3</c:v>
                </c:pt>
                <c:pt idx="364">
                  <c:v>-3.6732720822101302E-3</c:v>
                </c:pt>
                <c:pt idx="365">
                  <c:v>-3.4003165495732901E-3</c:v>
                </c:pt>
                <c:pt idx="366">
                  <c:v>-3.0913896948163706E-3</c:v>
                </c:pt>
                <c:pt idx="367">
                  <c:v>-3.4977892297547398E-3</c:v>
                </c:pt>
                <c:pt idx="368">
                  <c:v>-3.4018955389569787E-3</c:v>
                </c:pt>
                <c:pt idx="369">
                  <c:v>-3.0406624458123592E-3</c:v>
                </c:pt>
                <c:pt idx="370">
                  <c:v>-2.9888660425285698E-3</c:v>
                </c:pt>
                <c:pt idx="371">
                  <c:v>-3.0496797295427305E-3</c:v>
                </c:pt>
                <c:pt idx="372">
                  <c:v>-3.0673172353203886E-3</c:v>
                </c:pt>
                <c:pt idx="373">
                  <c:v>-2.9296346049250098E-3</c:v>
                </c:pt>
                <c:pt idx="374">
                  <c:v>-2.4256183069155694E-3</c:v>
                </c:pt>
                <c:pt idx="375">
                  <c:v>-2.8454115417844198E-3</c:v>
                </c:pt>
                <c:pt idx="376">
                  <c:v>-2.8412469679324199E-3</c:v>
                </c:pt>
                <c:pt idx="377">
                  <c:v>-3.35248245238518E-3</c:v>
                </c:pt>
                <c:pt idx="378">
                  <c:v>-2.6081407927449601E-3</c:v>
                </c:pt>
                <c:pt idx="379">
                  <c:v>-2.5699437377966201E-3</c:v>
                </c:pt>
                <c:pt idx="380">
                  <c:v>-2.7086641273399398E-3</c:v>
                </c:pt>
                <c:pt idx="381">
                  <c:v>-2.7523364412331795E-3</c:v>
                </c:pt>
                <c:pt idx="382">
                  <c:v>-2.6208827572986597E-3</c:v>
                </c:pt>
                <c:pt idx="383">
                  <c:v>-2.5707634399054803E-3</c:v>
                </c:pt>
                <c:pt idx="384">
                  <c:v>-2.7046254638776195E-3</c:v>
                </c:pt>
                <c:pt idx="385">
                  <c:v>-2.4529916581172997E-3</c:v>
                </c:pt>
                <c:pt idx="386">
                  <c:v>-2.5317992457871701E-3</c:v>
                </c:pt>
                <c:pt idx="387">
                  <c:v>-2.5449389214031691E-3</c:v>
                </c:pt>
                <c:pt idx="388">
                  <c:v>-2.41259051517773E-3</c:v>
                </c:pt>
                <c:pt idx="389">
                  <c:v>-2.3972941082206494E-3</c:v>
                </c:pt>
                <c:pt idx="390">
                  <c:v>-2.3818549906877702E-3</c:v>
                </c:pt>
                <c:pt idx="391">
                  <c:v>-2.4748893434889401E-3</c:v>
                </c:pt>
                <c:pt idx="392">
                  <c:v>-2.0037562504739998E-3</c:v>
                </c:pt>
                <c:pt idx="393">
                  <c:v>-2.658710685523149E-3</c:v>
                </c:pt>
                <c:pt idx="394">
                  <c:v>-2.01798295455546E-3</c:v>
                </c:pt>
                <c:pt idx="395">
                  <c:v>-2.4430624819729001E-3</c:v>
                </c:pt>
                <c:pt idx="396">
                  <c:v>-2.0251327849223305E-3</c:v>
                </c:pt>
                <c:pt idx="397">
                  <c:v>-1.8413671016332999E-3</c:v>
                </c:pt>
                <c:pt idx="398">
                  <c:v>-2.0318171962116997E-3</c:v>
                </c:pt>
                <c:pt idx="399">
                  <c:v>-2.3266728150019805E-3</c:v>
                </c:pt>
                <c:pt idx="400">
                  <c:v>-1.84597979597356E-3</c:v>
                </c:pt>
                <c:pt idx="401">
                  <c:v>-1.9908188648400894E-3</c:v>
                </c:pt>
                <c:pt idx="402">
                  <c:v>-2.0789621131029894E-3</c:v>
                </c:pt>
                <c:pt idx="403">
                  <c:v>-1.8537118598942503E-3</c:v>
                </c:pt>
                <c:pt idx="404">
                  <c:v>-1.7172427351965802E-3</c:v>
                </c:pt>
                <c:pt idx="405">
                  <c:v>-1.96175519710096E-3</c:v>
                </c:pt>
                <c:pt idx="406">
                  <c:v>-1.8122893909548999E-3</c:v>
                </c:pt>
                <c:pt idx="407">
                  <c:v>-2.02227979963254E-3</c:v>
                </c:pt>
                <c:pt idx="408">
                  <c:v>-1.9373725542095599E-3</c:v>
                </c:pt>
                <c:pt idx="409">
                  <c:v>-1.96807811022381E-3</c:v>
                </c:pt>
                <c:pt idx="410">
                  <c:v>-1.57169563357229E-3</c:v>
                </c:pt>
                <c:pt idx="411">
                  <c:v>-1.64145726932929E-3</c:v>
                </c:pt>
                <c:pt idx="412">
                  <c:v>-1.6083473711319099E-3</c:v>
                </c:pt>
                <c:pt idx="413">
                  <c:v>-1.72077334212872E-3</c:v>
                </c:pt>
                <c:pt idx="414">
                  <c:v>-1.7696398167572601E-3</c:v>
                </c:pt>
                <c:pt idx="415">
                  <c:v>-1.8030592015634301E-3</c:v>
                </c:pt>
                <c:pt idx="416">
                  <c:v>-1.6428781499939803E-3</c:v>
                </c:pt>
                <c:pt idx="417">
                  <c:v>-1.6069252434363101E-3</c:v>
                </c:pt>
                <c:pt idx="418">
                  <c:v>-1.3653001589091201E-3</c:v>
                </c:pt>
                <c:pt idx="419">
                  <c:v>-1.5047682488216199E-3</c:v>
                </c:pt>
                <c:pt idx="420">
                  <c:v>-1.8799453935116599E-3</c:v>
                </c:pt>
                <c:pt idx="421">
                  <c:v>-1.3045787467262902E-3</c:v>
                </c:pt>
                <c:pt idx="422">
                  <c:v>-1.3013970747692803E-3</c:v>
                </c:pt>
                <c:pt idx="423">
                  <c:v>-1.67351879622402E-3</c:v>
                </c:pt>
                <c:pt idx="424">
                  <c:v>-1.3417504924291299E-3</c:v>
                </c:pt>
                <c:pt idx="425">
                  <c:v>-1.7441529662960396E-3</c:v>
                </c:pt>
                <c:pt idx="426">
                  <c:v>-1.36454697138788E-3</c:v>
                </c:pt>
                <c:pt idx="427">
                  <c:v>-1.0957054888081101E-3</c:v>
                </c:pt>
                <c:pt idx="428">
                  <c:v>-1.24847399740702E-3</c:v>
                </c:pt>
                <c:pt idx="429">
                  <c:v>-1.3235981672892196E-3</c:v>
                </c:pt>
                <c:pt idx="430">
                  <c:v>-1.4523994897785997E-3</c:v>
                </c:pt>
                <c:pt idx="431">
                  <c:v>-1.0203513757005599E-3</c:v>
                </c:pt>
                <c:pt idx="432">
                  <c:v>-8.5328333392453693E-4</c:v>
                </c:pt>
                <c:pt idx="433">
                  <c:v>-1.0455356865577399E-3</c:v>
                </c:pt>
                <c:pt idx="434">
                  <c:v>-9.7643414255799122E-4</c:v>
                </c:pt>
                <c:pt idx="435">
                  <c:v>-1.18801770474874E-3</c:v>
                </c:pt>
                <c:pt idx="436">
                  <c:v>-1.25178398349135E-3</c:v>
                </c:pt>
                <c:pt idx="437">
                  <c:v>-1.1966471270739001E-3</c:v>
                </c:pt>
                <c:pt idx="438">
                  <c:v>-1.3949783301541198E-3</c:v>
                </c:pt>
                <c:pt idx="439">
                  <c:v>-1.3470418686551998E-3</c:v>
                </c:pt>
                <c:pt idx="440">
                  <c:v>-1.4224830668467801E-3</c:v>
                </c:pt>
                <c:pt idx="441">
                  <c:v>-8.1922808374201796E-4</c:v>
                </c:pt>
                <c:pt idx="442">
                  <c:v>-1.1403729266135103E-3</c:v>
                </c:pt>
                <c:pt idx="443">
                  <c:v>-1.3638768941177698E-3</c:v>
                </c:pt>
                <c:pt idx="444">
                  <c:v>-1.0322459504550402E-3</c:v>
                </c:pt>
                <c:pt idx="445">
                  <c:v>-8.4426505247847694E-4</c:v>
                </c:pt>
                <c:pt idx="446">
                  <c:v>-1.0475842535697698E-3</c:v>
                </c:pt>
                <c:pt idx="447">
                  <c:v>-1.0323480009333302E-3</c:v>
                </c:pt>
                <c:pt idx="448">
                  <c:v>-7.7204713960554684E-4</c:v>
                </c:pt>
                <c:pt idx="449">
                  <c:v>-1.19204282231067E-3</c:v>
                </c:pt>
                <c:pt idx="450">
                  <c:v>-1.2670011624891201E-3</c:v>
                </c:pt>
                <c:pt idx="451">
                  <c:v>-1.08292850416092E-3</c:v>
                </c:pt>
                <c:pt idx="452">
                  <c:v>-9.4749924312509414E-4</c:v>
                </c:pt>
                <c:pt idx="453">
                  <c:v>-1.2696320857230601E-3</c:v>
                </c:pt>
                <c:pt idx="454">
                  <c:v>-1.1843164660376702E-3</c:v>
                </c:pt>
                <c:pt idx="455">
                  <c:v>-9.4765084429582224E-4</c:v>
                </c:pt>
                <c:pt idx="456">
                  <c:v>-5.8644623277359599E-4</c:v>
                </c:pt>
                <c:pt idx="457">
                  <c:v>-1.0433044517981201E-3</c:v>
                </c:pt>
                <c:pt idx="458">
                  <c:v>-7.6028063477906482E-4</c:v>
                </c:pt>
                <c:pt idx="459">
                  <c:v>-5.6250520066214395E-4</c:v>
                </c:pt>
                <c:pt idx="460">
                  <c:v>-1.01051550655029E-3</c:v>
                </c:pt>
                <c:pt idx="461">
                  <c:v>-7.13174291149698E-4</c:v>
                </c:pt>
                <c:pt idx="462">
                  <c:v>-7.3140569907081965E-4</c:v>
                </c:pt>
                <c:pt idx="463">
                  <c:v>-1.2683759452443199E-3</c:v>
                </c:pt>
                <c:pt idx="464">
                  <c:v>-6.8187708717459816E-4</c:v>
                </c:pt>
                <c:pt idx="465">
                  <c:v>-7.4868156747243109E-4</c:v>
                </c:pt>
                <c:pt idx="466">
                  <c:v>-8.846463440477239E-4</c:v>
                </c:pt>
                <c:pt idx="467">
                  <c:v>-6.6310699202176704E-4</c:v>
                </c:pt>
                <c:pt idx="468">
                  <c:v>-9.1997463562165627E-4</c:v>
                </c:pt>
                <c:pt idx="469">
                  <c:v>-5.9882383243348202E-4</c:v>
                </c:pt>
                <c:pt idx="470">
                  <c:v>-5.8882420006511893E-4</c:v>
                </c:pt>
                <c:pt idx="471">
                  <c:v>-8.292384717947241E-4</c:v>
                </c:pt>
                <c:pt idx="472">
                  <c:v>-7.2026684512138726E-4</c:v>
                </c:pt>
                <c:pt idx="473">
                  <c:v>-8.3373156564903205E-4</c:v>
                </c:pt>
                <c:pt idx="474">
                  <c:v>-8.4448785673885086E-4</c:v>
                </c:pt>
                <c:pt idx="475">
                  <c:v>-4.7776624404605183E-4</c:v>
                </c:pt>
                <c:pt idx="476">
                  <c:v>-5.0713655053868901E-4</c:v>
                </c:pt>
                <c:pt idx="477">
                  <c:v>-3.49012479659905E-4</c:v>
                </c:pt>
                <c:pt idx="478">
                  <c:v>-5.1713538420017401E-4</c:v>
                </c:pt>
                <c:pt idx="479">
                  <c:v>-6.6497776469986991E-4</c:v>
                </c:pt>
                <c:pt idx="480">
                  <c:v>-5.4823095439360302E-4</c:v>
                </c:pt>
                <c:pt idx="481">
                  <c:v>-6.8110256916042999E-4</c:v>
                </c:pt>
                <c:pt idx="482">
                  <c:v>-4.3124279335415795E-4</c:v>
                </c:pt>
                <c:pt idx="483">
                  <c:v>-7.999563667340227E-4</c:v>
                </c:pt>
                <c:pt idx="484">
                  <c:v>-5.6435692164313888E-4</c:v>
                </c:pt>
                <c:pt idx="485">
                  <c:v>-3.6399858265667696E-4</c:v>
                </c:pt>
                <c:pt idx="486">
                  <c:v>-5.9330418559966401E-4</c:v>
                </c:pt>
                <c:pt idx="487">
                  <c:v>-3.9618786564687991E-4</c:v>
                </c:pt>
                <c:pt idx="488">
                  <c:v>-6.9847774324216505E-4</c:v>
                </c:pt>
                <c:pt idx="489">
                  <c:v>-6.4525366786938321E-4</c:v>
                </c:pt>
                <c:pt idx="490">
                  <c:v>-6.7059242002187591E-4</c:v>
                </c:pt>
                <c:pt idx="491">
                  <c:v>-4.8135356843204098E-4</c:v>
                </c:pt>
                <c:pt idx="492">
                  <c:v>-6.8387655250035095E-4</c:v>
                </c:pt>
                <c:pt idx="493">
                  <c:v>-5.4030853033282299E-4</c:v>
                </c:pt>
                <c:pt idx="494">
                  <c:v>-9.0588171917715976E-4</c:v>
                </c:pt>
                <c:pt idx="495">
                  <c:v>-3.8510546244196987E-4</c:v>
                </c:pt>
                <c:pt idx="496">
                  <c:v>-7.4807345959016002E-4</c:v>
                </c:pt>
                <c:pt idx="497">
                  <c:v>-3.7810757220313511E-4</c:v>
                </c:pt>
                <c:pt idx="498">
                  <c:v>-5.38015873189579E-4</c:v>
                </c:pt>
                <c:pt idx="499">
                  <c:v>-1.9429061831033299E-4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8BE5-4DCC-894F-30239D9D2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"/>
        <c:axId val="20"/>
      </c:scatterChart>
      <c:valAx>
        <c:axId val="10"/>
        <c:scaling>
          <c:logBase val="10"/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between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Gain (dB)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valAx>
        <c:axId val="20"/>
        <c:scaling>
          <c:orientation val="minMax"/>
        </c:scaling>
        <c:delete val="0"/>
        <c:axPos val="r"/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Phase (°)</a:t>
                </a:r>
              </a:p>
            </c:rich>
          </c:tx>
          <c:overlay val="0"/>
          <c:spPr>
            <a:ln w="9525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21"/>
        <c:crosses val="max"/>
        <c:crossBetween val="midCat"/>
      </c:valAx>
      <c:valAx>
        <c:axId val="21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0"/>
        <c:crosses val="autoZero"/>
        <c:crossBetween val="midCat"/>
      </c:valAx>
      <c:spPr>
        <a:noFill/>
        <a:ln w="9525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Phase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'GAIN vs FREQ'!$S$5:$S$504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'GAIN vs FREQ'!$V$5:$V$504</c:f>
              <c:numCache>
                <c:formatCode>General</c:formatCode>
                <c:ptCount val="500"/>
                <c:pt idx="0">
                  <c:v>-0.52390040578177399</c:v>
                </c:pt>
                <c:pt idx="1">
                  <c:v>-0.51616990259537898</c:v>
                </c:pt>
                <c:pt idx="2">
                  <c:v>-0.50934206706466501</c:v>
                </c:pt>
                <c:pt idx="3">
                  <c:v>-0.50158755727636606</c:v>
                </c:pt>
                <c:pt idx="4">
                  <c:v>-0.494339874241291</c:v>
                </c:pt>
                <c:pt idx="5">
                  <c:v>-0.48709529136857599</c:v>
                </c:pt>
                <c:pt idx="6">
                  <c:v>-0.48055993664007685</c:v>
                </c:pt>
                <c:pt idx="7">
                  <c:v>-0.47386221747609608</c:v>
                </c:pt>
                <c:pt idx="8">
                  <c:v>-0.46612591205422393</c:v>
                </c:pt>
                <c:pt idx="9">
                  <c:v>-0.46005606203902999</c:v>
                </c:pt>
                <c:pt idx="10">
                  <c:v>-0.45360083998980405</c:v>
                </c:pt>
                <c:pt idx="11">
                  <c:v>-0.44693011399391497</c:v>
                </c:pt>
                <c:pt idx="12">
                  <c:v>-0.44045967949097087</c:v>
                </c:pt>
                <c:pt idx="13">
                  <c:v>-0.43441694087908889</c:v>
                </c:pt>
                <c:pt idx="14">
                  <c:v>-0.42834367838850085</c:v>
                </c:pt>
                <c:pt idx="15">
                  <c:v>-0.42224588130829888</c:v>
                </c:pt>
                <c:pt idx="16">
                  <c:v>-0.41650884334552485</c:v>
                </c:pt>
                <c:pt idx="17">
                  <c:v>-0.40981329058888594</c:v>
                </c:pt>
                <c:pt idx="18">
                  <c:v>-0.40430866503817209</c:v>
                </c:pt>
                <c:pt idx="19">
                  <c:v>-0.39849317052357902</c:v>
                </c:pt>
                <c:pt idx="20">
                  <c:v>-0.39300984853485893</c:v>
                </c:pt>
                <c:pt idx="21">
                  <c:v>-0.38743150746148602</c:v>
                </c:pt>
                <c:pt idx="22">
                  <c:v>-0.38253108245726203</c:v>
                </c:pt>
                <c:pt idx="23">
                  <c:v>-0.37651199808749403</c:v>
                </c:pt>
                <c:pt idx="24">
                  <c:v>-0.37127921607731201</c:v>
                </c:pt>
                <c:pt idx="25">
                  <c:v>-0.36630219133849101</c:v>
                </c:pt>
                <c:pt idx="26">
                  <c:v>-0.36071444463658497</c:v>
                </c:pt>
                <c:pt idx="27">
                  <c:v>-0.35568754419421106</c:v>
                </c:pt>
                <c:pt idx="28">
                  <c:v>-0.35080192834396895</c:v>
                </c:pt>
                <c:pt idx="29">
                  <c:v>-0.34625188924974298</c:v>
                </c:pt>
                <c:pt idx="30">
                  <c:v>-0.34170799695152698</c:v>
                </c:pt>
                <c:pt idx="31">
                  <c:v>-0.33635358466318599</c:v>
                </c:pt>
                <c:pt idx="32">
                  <c:v>-0.33127916766028398</c:v>
                </c:pt>
                <c:pt idx="33">
                  <c:v>-0.32701766302324092</c:v>
                </c:pt>
                <c:pt idx="34">
                  <c:v>-0.32264506091519202</c:v>
                </c:pt>
                <c:pt idx="35">
                  <c:v>-0.31769825368400001</c:v>
                </c:pt>
                <c:pt idx="36">
                  <c:v>-0.31359913728618999</c:v>
                </c:pt>
                <c:pt idx="37">
                  <c:v>-0.30932135283433093</c:v>
                </c:pt>
                <c:pt idx="38">
                  <c:v>-0.30435062819196901</c:v>
                </c:pt>
                <c:pt idx="39">
                  <c:v>-0.30084694742322399</c:v>
                </c:pt>
                <c:pt idx="40">
                  <c:v>-0.296265382707531</c:v>
                </c:pt>
                <c:pt idx="41">
                  <c:v>-0.29230629297148902</c:v>
                </c:pt>
                <c:pt idx="42">
                  <c:v>-0.28791826655242397</c:v>
                </c:pt>
                <c:pt idx="43">
                  <c:v>-0.28429513581033894</c:v>
                </c:pt>
                <c:pt idx="44">
                  <c:v>-0.280302767352055</c:v>
                </c:pt>
                <c:pt idx="45">
                  <c:v>-0.27607521661605</c:v>
                </c:pt>
                <c:pt idx="46">
                  <c:v>-0.27214549338810906</c:v>
                </c:pt>
                <c:pt idx="47">
                  <c:v>-0.26819263272159288</c:v>
                </c:pt>
                <c:pt idx="48">
                  <c:v>-0.26485569800911396</c:v>
                </c:pt>
                <c:pt idx="49">
                  <c:v>-0.26094345555242204</c:v>
                </c:pt>
                <c:pt idx="50">
                  <c:v>-0.257461944991974</c:v>
                </c:pt>
                <c:pt idx="51">
                  <c:v>-0.253720822494586</c:v>
                </c:pt>
                <c:pt idx="52">
                  <c:v>-0.25073929992458899</c:v>
                </c:pt>
                <c:pt idx="53">
                  <c:v>-0.24678414785643091</c:v>
                </c:pt>
                <c:pt idx="54">
                  <c:v>-0.24316708599116094</c:v>
                </c:pt>
                <c:pt idx="55">
                  <c:v>-0.239797721555703</c:v>
                </c:pt>
                <c:pt idx="56">
                  <c:v>-0.23671376365854296</c:v>
                </c:pt>
                <c:pt idx="57">
                  <c:v>-0.23345347636433197</c:v>
                </c:pt>
                <c:pt idx="58">
                  <c:v>-0.23028675983766797</c:v>
                </c:pt>
                <c:pt idx="59">
                  <c:v>-0.226825119890918</c:v>
                </c:pt>
                <c:pt idx="60">
                  <c:v>-0.223711311648401</c:v>
                </c:pt>
                <c:pt idx="61">
                  <c:v>-0.22047323875295896</c:v>
                </c:pt>
                <c:pt idx="62">
                  <c:v>-0.21801911122656698</c:v>
                </c:pt>
                <c:pt idx="63">
                  <c:v>-0.21469006074346503</c:v>
                </c:pt>
                <c:pt idx="64">
                  <c:v>-0.21169253698889201</c:v>
                </c:pt>
                <c:pt idx="65">
                  <c:v>-0.20864623188793999</c:v>
                </c:pt>
                <c:pt idx="66">
                  <c:v>-0.20579060396181598</c:v>
                </c:pt>
                <c:pt idx="67">
                  <c:v>-0.2031300570913</c:v>
                </c:pt>
                <c:pt idx="68">
                  <c:v>-0.20009309308079501</c:v>
                </c:pt>
                <c:pt idx="69">
                  <c:v>-0.19775994284418597</c:v>
                </c:pt>
                <c:pt idx="70">
                  <c:v>-0.19448488327691396</c:v>
                </c:pt>
                <c:pt idx="71">
                  <c:v>-0.19235495759676291</c:v>
                </c:pt>
                <c:pt idx="72">
                  <c:v>-0.18947432987215504</c:v>
                </c:pt>
                <c:pt idx="73">
                  <c:v>-0.18696984330517799</c:v>
                </c:pt>
                <c:pt idx="74">
                  <c:v>-0.18379515758942896</c:v>
                </c:pt>
                <c:pt idx="75">
                  <c:v>-0.18197935537420998</c:v>
                </c:pt>
                <c:pt idx="76">
                  <c:v>-0.17910800011407002</c:v>
                </c:pt>
                <c:pt idx="77">
                  <c:v>-0.176775821186993</c:v>
                </c:pt>
                <c:pt idx="78">
                  <c:v>-0.17406616129437699</c:v>
                </c:pt>
                <c:pt idx="79">
                  <c:v>-0.171774240992079</c:v>
                </c:pt>
                <c:pt idx="80">
                  <c:v>-0.16935231719082799</c:v>
                </c:pt>
                <c:pt idx="81">
                  <c:v>-0.16686677713289599</c:v>
                </c:pt>
                <c:pt idx="82">
                  <c:v>-0.16438806287919802</c:v>
                </c:pt>
                <c:pt idx="83">
                  <c:v>-0.16241578562807002</c:v>
                </c:pt>
                <c:pt idx="84">
                  <c:v>-0.159943697525364</c:v>
                </c:pt>
                <c:pt idx="85">
                  <c:v>-0.15811699644694999</c:v>
                </c:pt>
                <c:pt idx="86">
                  <c:v>-0.15588220506799599</c:v>
                </c:pt>
                <c:pt idx="87">
                  <c:v>-0.15362827588671699</c:v>
                </c:pt>
                <c:pt idx="88">
                  <c:v>-0.15167910069823201</c:v>
                </c:pt>
                <c:pt idx="89">
                  <c:v>-0.14919745290785599</c:v>
                </c:pt>
                <c:pt idx="90">
                  <c:v>-0.14726252006181501</c:v>
                </c:pt>
                <c:pt idx="91">
                  <c:v>-0.14501826198937798</c:v>
                </c:pt>
                <c:pt idx="92">
                  <c:v>-0.14372965395040199</c:v>
                </c:pt>
                <c:pt idx="93">
                  <c:v>-0.14146457092562098</c:v>
                </c:pt>
                <c:pt idx="94">
                  <c:v>-0.139126422597315</c:v>
                </c:pt>
                <c:pt idx="95">
                  <c:v>-0.13757482860103201</c:v>
                </c:pt>
                <c:pt idx="96">
                  <c:v>-0.13565745045536901</c:v>
                </c:pt>
                <c:pt idx="97">
                  <c:v>-0.13359911317672898</c:v>
                </c:pt>
                <c:pt idx="98">
                  <c:v>-0.13235227939623001</c:v>
                </c:pt>
                <c:pt idx="99">
                  <c:v>-0.13015746996029501</c:v>
                </c:pt>
                <c:pt idx="100">
                  <c:v>-0.12827807799226301</c:v>
                </c:pt>
                <c:pt idx="101">
                  <c:v>-0.12661053372852396</c:v>
                </c:pt>
                <c:pt idx="102">
                  <c:v>-0.12490670436801601</c:v>
                </c:pt>
                <c:pt idx="103">
                  <c:v>-0.12341911369463801</c:v>
                </c:pt>
                <c:pt idx="104">
                  <c:v>-0.121052862134889</c:v>
                </c:pt>
                <c:pt idx="105">
                  <c:v>-0.11937613671045699</c:v>
                </c:pt>
                <c:pt idx="106">
                  <c:v>-0.11794453002522701</c:v>
                </c:pt>
                <c:pt idx="107">
                  <c:v>-0.11638012748255699</c:v>
                </c:pt>
                <c:pt idx="108">
                  <c:v>-0.11458289526774498</c:v>
                </c:pt>
                <c:pt idx="109">
                  <c:v>-0.113261874890384</c:v>
                </c:pt>
                <c:pt idx="110">
                  <c:v>-0.11172296456641102</c:v>
                </c:pt>
                <c:pt idx="111">
                  <c:v>-0.10970886267784899</c:v>
                </c:pt>
                <c:pt idx="112">
                  <c:v>-0.10873185621784401</c:v>
                </c:pt>
                <c:pt idx="113">
                  <c:v>-0.107111365793173</c:v>
                </c:pt>
                <c:pt idx="114">
                  <c:v>-0.10565620515291103</c:v>
                </c:pt>
                <c:pt idx="115">
                  <c:v>-0.104116784934376</c:v>
                </c:pt>
                <c:pt idx="116">
                  <c:v>-0.10253401268875</c:v>
                </c:pt>
                <c:pt idx="117">
                  <c:v>-0.10161459811064302</c:v>
                </c:pt>
                <c:pt idx="118">
                  <c:v>-9.9419392657011871E-2</c:v>
                </c:pt>
                <c:pt idx="119">
                  <c:v>-9.8592840259982481E-2</c:v>
                </c:pt>
                <c:pt idx="120">
                  <c:v>-9.6751338146702878E-2</c:v>
                </c:pt>
                <c:pt idx="121">
                  <c:v>-9.5789676060064666E-2</c:v>
                </c:pt>
                <c:pt idx="122">
                  <c:v>-9.4729389079361681E-2</c:v>
                </c:pt>
                <c:pt idx="123">
                  <c:v>-9.3208646241009788E-2</c:v>
                </c:pt>
                <c:pt idx="124">
                  <c:v>-9.2141837236226806E-2</c:v>
                </c:pt>
                <c:pt idx="125">
                  <c:v>-9.0536379061632019E-2</c:v>
                </c:pt>
                <c:pt idx="126">
                  <c:v>-8.9878541644679899E-2</c:v>
                </c:pt>
                <c:pt idx="127">
                  <c:v>-8.8359461019479099E-2</c:v>
                </c:pt>
                <c:pt idx="128">
                  <c:v>-8.696114311612739E-2</c:v>
                </c:pt>
                <c:pt idx="129">
                  <c:v>-8.5725335784900381E-2</c:v>
                </c:pt>
                <c:pt idx="130">
                  <c:v>-8.5013009951694599E-2</c:v>
                </c:pt>
                <c:pt idx="131">
                  <c:v>-8.3189714812704096E-2</c:v>
                </c:pt>
                <c:pt idx="132">
                  <c:v>-8.2336829343546483E-2</c:v>
                </c:pt>
                <c:pt idx="133">
                  <c:v>-8.1125139958828626E-2</c:v>
                </c:pt>
                <c:pt idx="134">
                  <c:v>-8.0048061857496591E-2</c:v>
                </c:pt>
                <c:pt idx="135">
                  <c:v>-7.8794982374631686E-2</c:v>
                </c:pt>
                <c:pt idx="136">
                  <c:v>-7.7588933600111376E-2</c:v>
                </c:pt>
                <c:pt idx="137">
                  <c:v>-7.6845607781308403E-2</c:v>
                </c:pt>
                <c:pt idx="138">
                  <c:v>-7.5555445118766315E-2</c:v>
                </c:pt>
                <c:pt idx="139">
                  <c:v>-7.4603560291393478E-2</c:v>
                </c:pt>
                <c:pt idx="140">
                  <c:v>-7.3681662673323003E-2</c:v>
                </c:pt>
                <c:pt idx="141">
                  <c:v>-7.2656620315399309E-2</c:v>
                </c:pt>
                <c:pt idx="142">
                  <c:v>-7.146535646188569E-2</c:v>
                </c:pt>
                <c:pt idx="143">
                  <c:v>-7.0632246021261794E-2</c:v>
                </c:pt>
                <c:pt idx="144">
                  <c:v>-6.9924016542415798E-2</c:v>
                </c:pt>
                <c:pt idx="145">
                  <c:v>-6.8460714013554011E-2</c:v>
                </c:pt>
                <c:pt idx="146">
                  <c:v>-6.7966851675578296E-2</c:v>
                </c:pt>
                <c:pt idx="147">
                  <c:v>-6.6963240160930582E-2</c:v>
                </c:pt>
                <c:pt idx="148">
                  <c:v>-6.5970365101122808E-2</c:v>
                </c:pt>
                <c:pt idx="149">
                  <c:v>-6.5046884518665082E-2</c:v>
                </c:pt>
                <c:pt idx="150">
                  <c:v>-6.4614181041747501E-2</c:v>
                </c:pt>
                <c:pt idx="151">
                  <c:v>-6.3192622531687392E-2</c:v>
                </c:pt>
                <c:pt idx="152">
                  <c:v>-6.2394722885983397E-2</c:v>
                </c:pt>
                <c:pt idx="153">
                  <c:v>-6.1363133539828099E-2</c:v>
                </c:pt>
                <c:pt idx="154">
                  <c:v>-6.109664500445431E-2</c:v>
                </c:pt>
                <c:pt idx="155">
                  <c:v>-6.0223065778018288E-2</c:v>
                </c:pt>
                <c:pt idx="156">
                  <c:v>-5.8472937528620185E-2</c:v>
                </c:pt>
                <c:pt idx="157">
                  <c:v>-5.7829955645558997E-2</c:v>
                </c:pt>
                <c:pt idx="158">
                  <c:v>-5.757639664807359E-2</c:v>
                </c:pt>
                <c:pt idx="159">
                  <c:v>-5.6882673603070096E-2</c:v>
                </c:pt>
                <c:pt idx="160">
                  <c:v>-5.5835706055518096E-2</c:v>
                </c:pt>
                <c:pt idx="161">
                  <c:v>-5.5127382902412599E-2</c:v>
                </c:pt>
                <c:pt idx="162">
                  <c:v>-5.4216921537374681E-2</c:v>
                </c:pt>
                <c:pt idx="163">
                  <c:v>-5.3716967898537901E-2</c:v>
                </c:pt>
                <c:pt idx="164">
                  <c:v>-5.2808427467141407E-2</c:v>
                </c:pt>
                <c:pt idx="165">
                  <c:v>-5.2395793356538399E-2</c:v>
                </c:pt>
                <c:pt idx="166">
                  <c:v>-5.1782445844821702E-2</c:v>
                </c:pt>
                <c:pt idx="167">
                  <c:v>-5.0435920036363803E-2</c:v>
                </c:pt>
                <c:pt idx="168">
                  <c:v>-5.0184222200869003E-2</c:v>
                </c:pt>
                <c:pt idx="169">
                  <c:v>-4.9392250426535604E-2</c:v>
                </c:pt>
                <c:pt idx="170">
                  <c:v>-4.8410199286991001E-2</c:v>
                </c:pt>
                <c:pt idx="171">
                  <c:v>-4.7860662511709499E-2</c:v>
                </c:pt>
                <c:pt idx="172">
                  <c:v>-4.7380400133363303E-2</c:v>
                </c:pt>
                <c:pt idx="173">
                  <c:v>-4.6356015997503199E-2</c:v>
                </c:pt>
                <c:pt idx="174">
                  <c:v>-4.5585742760749788E-2</c:v>
                </c:pt>
                <c:pt idx="175">
                  <c:v>-4.5470981025914597E-2</c:v>
                </c:pt>
                <c:pt idx="176">
                  <c:v>-4.4919134608505801E-2</c:v>
                </c:pt>
                <c:pt idx="177">
                  <c:v>-4.4384739003078301E-2</c:v>
                </c:pt>
                <c:pt idx="178">
                  <c:v>-4.3537942038085503E-2</c:v>
                </c:pt>
                <c:pt idx="179">
                  <c:v>-4.3136070790637901E-2</c:v>
                </c:pt>
                <c:pt idx="180">
                  <c:v>-4.2373005121078215E-2</c:v>
                </c:pt>
                <c:pt idx="181">
                  <c:v>-4.1897042715220316E-2</c:v>
                </c:pt>
                <c:pt idx="182">
                  <c:v>-4.1114888736387904E-2</c:v>
                </c:pt>
                <c:pt idx="183">
                  <c:v>-4.0586938545288803E-2</c:v>
                </c:pt>
                <c:pt idx="184">
                  <c:v>-4.0322285388242597E-2</c:v>
                </c:pt>
                <c:pt idx="185">
                  <c:v>-3.9317677350709297E-2</c:v>
                </c:pt>
                <c:pt idx="186">
                  <c:v>-3.9102461906111295E-2</c:v>
                </c:pt>
                <c:pt idx="187">
                  <c:v>-3.8920559915140991E-2</c:v>
                </c:pt>
                <c:pt idx="188">
                  <c:v>-3.7966940482647295E-2</c:v>
                </c:pt>
                <c:pt idx="189">
                  <c:v>-3.737933592003629E-2</c:v>
                </c:pt>
                <c:pt idx="190">
                  <c:v>-3.6855633483867202E-2</c:v>
                </c:pt>
                <c:pt idx="191">
                  <c:v>-3.6244326813232398E-2</c:v>
                </c:pt>
                <c:pt idx="192">
                  <c:v>-3.5799806447130295E-2</c:v>
                </c:pt>
                <c:pt idx="193">
                  <c:v>-3.5173501916744995E-2</c:v>
                </c:pt>
                <c:pt idx="194">
                  <c:v>-3.4883105653079803E-2</c:v>
                </c:pt>
                <c:pt idx="195">
                  <c:v>-3.4586489744469893E-2</c:v>
                </c:pt>
                <c:pt idx="196">
                  <c:v>-3.3894061360456397E-2</c:v>
                </c:pt>
                <c:pt idx="197">
                  <c:v>-3.3885578114791308E-2</c:v>
                </c:pt>
                <c:pt idx="198">
                  <c:v>-3.3006440780468403E-2</c:v>
                </c:pt>
                <c:pt idx="199">
                  <c:v>-3.2897465801681798E-2</c:v>
                </c:pt>
                <c:pt idx="200">
                  <c:v>-3.2144336119529292E-2</c:v>
                </c:pt>
                <c:pt idx="201">
                  <c:v>-3.1532534425082297E-2</c:v>
                </c:pt>
                <c:pt idx="202">
                  <c:v>-3.1554769604667902E-2</c:v>
                </c:pt>
                <c:pt idx="203">
                  <c:v>-3.0806087740984402E-2</c:v>
                </c:pt>
                <c:pt idx="204">
                  <c:v>-3.03192220808342E-2</c:v>
                </c:pt>
                <c:pt idx="205">
                  <c:v>-3.0087878893027699E-2</c:v>
                </c:pt>
                <c:pt idx="206">
                  <c:v>-2.9849061827633201E-2</c:v>
                </c:pt>
                <c:pt idx="207">
                  <c:v>-2.8998128166563199E-2</c:v>
                </c:pt>
                <c:pt idx="208">
                  <c:v>-2.8990621462867201E-2</c:v>
                </c:pt>
                <c:pt idx="209">
                  <c:v>-2.8549718589999901E-2</c:v>
                </c:pt>
                <c:pt idx="210">
                  <c:v>-2.7895374538729801E-2</c:v>
                </c:pt>
                <c:pt idx="211">
                  <c:v>-2.76529622542512E-2</c:v>
                </c:pt>
                <c:pt idx="212">
                  <c:v>-2.6827442463172705E-2</c:v>
                </c:pt>
                <c:pt idx="213">
                  <c:v>-2.7047933536721299E-2</c:v>
                </c:pt>
                <c:pt idx="214">
                  <c:v>-2.6470500504899516E-2</c:v>
                </c:pt>
                <c:pt idx="215">
                  <c:v>-2.6012402787785001E-2</c:v>
                </c:pt>
                <c:pt idx="216">
                  <c:v>-2.5930948116865696E-2</c:v>
                </c:pt>
                <c:pt idx="217">
                  <c:v>-2.52219801108708E-2</c:v>
                </c:pt>
                <c:pt idx="218">
                  <c:v>-2.5261412337499688E-2</c:v>
                </c:pt>
                <c:pt idx="219">
                  <c:v>-2.414747498932E-2</c:v>
                </c:pt>
                <c:pt idx="220">
                  <c:v>-2.4206225635907689E-2</c:v>
                </c:pt>
                <c:pt idx="221">
                  <c:v>-2.4532984480970296E-2</c:v>
                </c:pt>
                <c:pt idx="222">
                  <c:v>-2.3757359413480096E-2</c:v>
                </c:pt>
                <c:pt idx="223">
                  <c:v>-2.3438621381899297E-2</c:v>
                </c:pt>
                <c:pt idx="224">
                  <c:v>-2.3242749916732901E-2</c:v>
                </c:pt>
                <c:pt idx="225">
                  <c:v>-2.2989285728044703E-2</c:v>
                </c:pt>
                <c:pt idx="226">
                  <c:v>-2.22699071634338E-2</c:v>
                </c:pt>
                <c:pt idx="227">
                  <c:v>-2.2041467312476505E-2</c:v>
                </c:pt>
                <c:pt idx="228">
                  <c:v>-2.1857938436710401E-2</c:v>
                </c:pt>
                <c:pt idx="229">
                  <c:v>-2.1573899396003099E-2</c:v>
                </c:pt>
                <c:pt idx="230">
                  <c:v>-2.12661337189388E-2</c:v>
                </c:pt>
                <c:pt idx="231">
                  <c:v>-2.1146693281878001E-2</c:v>
                </c:pt>
                <c:pt idx="232">
                  <c:v>-2.0562762096915294E-2</c:v>
                </c:pt>
                <c:pt idx="233">
                  <c:v>-2.0133018054877997E-2</c:v>
                </c:pt>
                <c:pt idx="234">
                  <c:v>-2.0320172361493905E-2</c:v>
                </c:pt>
                <c:pt idx="235">
                  <c:v>-1.9553566190381799E-2</c:v>
                </c:pt>
                <c:pt idx="236">
                  <c:v>-1.9541517216452999E-2</c:v>
                </c:pt>
                <c:pt idx="237">
                  <c:v>-1.9135012366120901E-2</c:v>
                </c:pt>
                <c:pt idx="238">
                  <c:v>-1.8953887267969094E-2</c:v>
                </c:pt>
                <c:pt idx="239">
                  <c:v>-1.8681022660587101E-2</c:v>
                </c:pt>
                <c:pt idx="240">
                  <c:v>-1.83974500521344E-2</c:v>
                </c:pt>
                <c:pt idx="241">
                  <c:v>-1.7765147957390995E-2</c:v>
                </c:pt>
                <c:pt idx="242">
                  <c:v>-1.7983544119317699E-2</c:v>
                </c:pt>
                <c:pt idx="243">
                  <c:v>-1.7710317335001901E-2</c:v>
                </c:pt>
                <c:pt idx="244">
                  <c:v>-1.7597107244739601E-2</c:v>
                </c:pt>
                <c:pt idx="245">
                  <c:v>-1.7376468153258898E-2</c:v>
                </c:pt>
                <c:pt idx="246">
                  <c:v>-1.70309410422647E-2</c:v>
                </c:pt>
                <c:pt idx="247">
                  <c:v>-1.67189515327664E-2</c:v>
                </c:pt>
                <c:pt idx="248">
                  <c:v>-1.6195650277268197E-2</c:v>
                </c:pt>
                <c:pt idx="249">
                  <c:v>-1.6030406753429802E-2</c:v>
                </c:pt>
                <c:pt idx="250">
                  <c:v>-1.5760890570447803E-2</c:v>
                </c:pt>
                <c:pt idx="251">
                  <c:v>-1.5686331848598901E-2</c:v>
                </c:pt>
                <c:pt idx="252">
                  <c:v>-1.5575211853786203E-2</c:v>
                </c:pt>
                <c:pt idx="253">
                  <c:v>-1.5551478166969401E-2</c:v>
                </c:pt>
                <c:pt idx="254">
                  <c:v>-1.4948744397486302E-2</c:v>
                </c:pt>
                <c:pt idx="255">
                  <c:v>-1.5274198948873196E-2</c:v>
                </c:pt>
                <c:pt idx="256">
                  <c:v>-1.49872260815869E-2</c:v>
                </c:pt>
                <c:pt idx="257">
                  <c:v>-1.4617352307595899E-2</c:v>
                </c:pt>
                <c:pt idx="258">
                  <c:v>-1.46478630329625E-2</c:v>
                </c:pt>
                <c:pt idx="259">
                  <c:v>-1.4321218362738398E-2</c:v>
                </c:pt>
                <c:pt idx="260">
                  <c:v>-1.4173785825562399E-2</c:v>
                </c:pt>
                <c:pt idx="261">
                  <c:v>-1.3838714268899798E-2</c:v>
                </c:pt>
                <c:pt idx="262">
                  <c:v>-1.35291712346657E-2</c:v>
                </c:pt>
                <c:pt idx="263">
                  <c:v>-1.3457343787251799E-2</c:v>
                </c:pt>
                <c:pt idx="264">
                  <c:v>-1.3070743664513905E-2</c:v>
                </c:pt>
                <c:pt idx="265">
                  <c:v>-1.28685452907007E-2</c:v>
                </c:pt>
                <c:pt idx="266">
                  <c:v>-1.2544253974908801E-2</c:v>
                </c:pt>
                <c:pt idx="267">
                  <c:v>-1.24123735910189E-2</c:v>
                </c:pt>
                <c:pt idx="268">
                  <c:v>-1.2267583882589901E-2</c:v>
                </c:pt>
                <c:pt idx="269">
                  <c:v>-1.2147129726258799E-2</c:v>
                </c:pt>
                <c:pt idx="270">
                  <c:v>-1.2358535237296998E-2</c:v>
                </c:pt>
                <c:pt idx="271">
                  <c:v>-1.23529201649148E-2</c:v>
                </c:pt>
                <c:pt idx="272">
                  <c:v>-1.1562300810396699E-2</c:v>
                </c:pt>
                <c:pt idx="273">
                  <c:v>-1.1614234725357199E-2</c:v>
                </c:pt>
                <c:pt idx="274">
                  <c:v>-1.1501895199217E-2</c:v>
                </c:pt>
                <c:pt idx="275">
                  <c:v>-1.11375888734528E-2</c:v>
                </c:pt>
                <c:pt idx="276">
                  <c:v>-1.1041312598081301E-2</c:v>
                </c:pt>
                <c:pt idx="277">
                  <c:v>-1.1010245429417899E-2</c:v>
                </c:pt>
                <c:pt idx="278">
                  <c:v>-1.0848206651985501E-2</c:v>
                </c:pt>
                <c:pt idx="279">
                  <c:v>-1.07871322522328E-2</c:v>
                </c:pt>
                <c:pt idx="280">
                  <c:v>-1.0756233213044199E-2</c:v>
                </c:pt>
                <c:pt idx="281">
                  <c:v>-1.0477711541852799E-2</c:v>
                </c:pt>
                <c:pt idx="282">
                  <c:v>-1.0577808612310899E-2</c:v>
                </c:pt>
                <c:pt idx="283">
                  <c:v>-1.03271226772677E-2</c:v>
                </c:pt>
                <c:pt idx="284">
                  <c:v>-9.85670356664059E-3</c:v>
                </c:pt>
                <c:pt idx="285">
                  <c:v>-9.8280271282646919E-3</c:v>
                </c:pt>
                <c:pt idx="286">
                  <c:v>-9.9309562439202567E-3</c:v>
                </c:pt>
                <c:pt idx="287">
                  <c:v>-9.7798637491450808E-3</c:v>
                </c:pt>
                <c:pt idx="288">
                  <c:v>-9.6543830433120075E-3</c:v>
                </c:pt>
                <c:pt idx="289">
                  <c:v>-9.2565864945299819E-3</c:v>
                </c:pt>
                <c:pt idx="290">
                  <c:v>-9.3142636264360607E-3</c:v>
                </c:pt>
                <c:pt idx="291">
                  <c:v>-9.04394311868373E-3</c:v>
                </c:pt>
                <c:pt idx="292">
                  <c:v>-9.2866376973006481E-3</c:v>
                </c:pt>
                <c:pt idx="293">
                  <c:v>-9.2951211579475074E-3</c:v>
                </c:pt>
                <c:pt idx="294">
                  <c:v>-8.8007082408694277E-3</c:v>
                </c:pt>
                <c:pt idx="295">
                  <c:v>-8.3994203292832009E-3</c:v>
                </c:pt>
                <c:pt idx="296">
                  <c:v>-8.1672735269648893E-3</c:v>
                </c:pt>
                <c:pt idx="297">
                  <c:v>-8.1492825140117003E-3</c:v>
                </c:pt>
                <c:pt idx="298">
                  <c:v>-8.2169231806119587E-3</c:v>
                </c:pt>
                <c:pt idx="299">
                  <c:v>-8.0054067383343881E-3</c:v>
                </c:pt>
                <c:pt idx="300">
                  <c:v>-7.9762208829947685E-3</c:v>
                </c:pt>
                <c:pt idx="301">
                  <c:v>-8.0290058821219576E-3</c:v>
                </c:pt>
                <c:pt idx="302">
                  <c:v>-7.7579304152095583E-3</c:v>
                </c:pt>
                <c:pt idx="303">
                  <c:v>-8.1162842432149791E-3</c:v>
                </c:pt>
                <c:pt idx="304">
                  <c:v>-7.7165230386526682E-3</c:v>
                </c:pt>
                <c:pt idx="305">
                  <c:v>-7.6441402787281723E-3</c:v>
                </c:pt>
                <c:pt idx="306">
                  <c:v>-7.3030852676652094E-3</c:v>
                </c:pt>
                <c:pt idx="307">
                  <c:v>-7.4097686482446079E-3</c:v>
                </c:pt>
                <c:pt idx="308">
                  <c:v>-7.1269750597480197E-3</c:v>
                </c:pt>
                <c:pt idx="309">
                  <c:v>-7.6579792747679676E-3</c:v>
                </c:pt>
                <c:pt idx="310">
                  <c:v>-6.8327927486961917E-3</c:v>
                </c:pt>
                <c:pt idx="311">
                  <c:v>-6.6402689265032686E-3</c:v>
                </c:pt>
                <c:pt idx="312">
                  <c:v>-6.8584956586619219E-3</c:v>
                </c:pt>
                <c:pt idx="313">
                  <c:v>-6.6062975504337391E-3</c:v>
                </c:pt>
                <c:pt idx="314">
                  <c:v>-6.8803231142169404E-3</c:v>
                </c:pt>
                <c:pt idx="315">
                  <c:v>-6.6358154510339782E-3</c:v>
                </c:pt>
                <c:pt idx="316">
                  <c:v>-6.4451876986026998E-3</c:v>
                </c:pt>
                <c:pt idx="317">
                  <c:v>-6.3717558750795425E-3</c:v>
                </c:pt>
                <c:pt idx="318">
                  <c:v>-6.3704363629426596E-3</c:v>
                </c:pt>
                <c:pt idx="319">
                  <c:v>-6.2245563373153397E-3</c:v>
                </c:pt>
                <c:pt idx="320">
                  <c:v>-6.2017390089863502E-3</c:v>
                </c:pt>
                <c:pt idx="321">
                  <c:v>-5.914042045787939E-3</c:v>
                </c:pt>
                <c:pt idx="322">
                  <c:v>-5.9170670037929085E-3</c:v>
                </c:pt>
                <c:pt idx="323">
                  <c:v>-6.0386312590026085E-3</c:v>
                </c:pt>
                <c:pt idx="324">
                  <c:v>-5.6558457869755295E-3</c:v>
                </c:pt>
                <c:pt idx="325">
                  <c:v>-5.799518565595462E-3</c:v>
                </c:pt>
                <c:pt idx="326">
                  <c:v>-5.8524894183165097E-3</c:v>
                </c:pt>
                <c:pt idx="327">
                  <c:v>-5.7262173995695784E-3</c:v>
                </c:pt>
                <c:pt idx="328">
                  <c:v>-5.344356111493199E-3</c:v>
                </c:pt>
                <c:pt idx="329">
                  <c:v>-4.9261286725936796E-3</c:v>
                </c:pt>
                <c:pt idx="330">
                  <c:v>-5.4530731185877803E-3</c:v>
                </c:pt>
                <c:pt idx="331">
                  <c:v>-5.2606975912681282E-3</c:v>
                </c:pt>
                <c:pt idx="332">
                  <c:v>-5.2469596762989602E-3</c:v>
                </c:pt>
                <c:pt idx="333">
                  <c:v>-5.251079802519599E-3</c:v>
                </c:pt>
                <c:pt idx="334">
                  <c:v>-4.9236754841785997E-3</c:v>
                </c:pt>
                <c:pt idx="335">
                  <c:v>-4.9810615067826802E-3</c:v>
                </c:pt>
                <c:pt idx="336">
                  <c:v>-4.610776747028921E-3</c:v>
                </c:pt>
                <c:pt idx="337">
                  <c:v>-4.8649155182829409E-3</c:v>
                </c:pt>
                <c:pt idx="338">
                  <c:v>-4.9039499654668396E-3</c:v>
                </c:pt>
                <c:pt idx="339">
                  <c:v>-4.5948246118428003E-3</c:v>
                </c:pt>
                <c:pt idx="340">
                  <c:v>-4.55121226400479E-3</c:v>
                </c:pt>
                <c:pt idx="341">
                  <c:v>-4.8462863916256486E-3</c:v>
                </c:pt>
                <c:pt idx="342">
                  <c:v>-4.4151279050197402E-3</c:v>
                </c:pt>
                <c:pt idx="343">
                  <c:v>-4.6805873893163196E-3</c:v>
                </c:pt>
                <c:pt idx="344">
                  <c:v>-4.5512135836247589E-3</c:v>
                </c:pt>
                <c:pt idx="345">
                  <c:v>-4.2448911812016385E-3</c:v>
                </c:pt>
                <c:pt idx="346">
                  <c:v>-4.0964616352425799E-3</c:v>
                </c:pt>
                <c:pt idx="347">
                  <c:v>-3.6489929618710401E-3</c:v>
                </c:pt>
                <c:pt idx="348">
                  <c:v>-3.9961347047778898E-3</c:v>
                </c:pt>
                <c:pt idx="349">
                  <c:v>-3.9928613699657901E-3</c:v>
                </c:pt>
                <c:pt idx="350">
                  <c:v>-4.2194197498588402E-3</c:v>
                </c:pt>
                <c:pt idx="351">
                  <c:v>-4.1078843984223602E-3</c:v>
                </c:pt>
                <c:pt idx="352">
                  <c:v>-4.1169391801645404E-3</c:v>
                </c:pt>
                <c:pt idx="353">
                  <c:v>-3.6506227972381601E-3</c:v>
                </c:pt>
                <c:pt idx="354">
                  <c:v>-3.9971844998945016E-3</c:v>
                </c:pt>
                <c:pt idx="355">
                  <c:v>-3.8357896354455105E-3</c:v>
                </c:pt>
                <c:pt idx="356">
                  <c:v>-3.6784136677283598E-3</c:v>
                </c:pt>
                <c:pt idx="357">
                  <c:v>-3.5965005743037186E-3</c:v>
                </c:pt>
                <c:pt idx="358">
                  <c:v>-3.7595295028722804E-3</c:v>
                </c:pt>
                <c:pt idx="359">
                  <c:v>-3.434617790389889E-3</c:v>
                </c:pt>
                <c:pt idx="360">
                  <c:v>-2.9179458203429896E-3</c:v>
                </c:pt>
                <c:pt idx="361">
                  <c:v>-3.4779960382138597E-3</c:v>
                </c:pt>
                <c:pt idx="362">
                  <c:v>-3.5702916913464798E-3</c:v>
                </c:pt>
                <c:pt idx="363">
                  <c:v>-3.6499715873219403E-3</c:v>
                </c:pt>
                <c:pt idx="364">
                  <c:v>-3.6732720822101302E-3</c:v>
                </c:pt>
                <c:pt idx="365">
                  <c:v>-3.4003165495732901E-3</c:v>
                </c:pt>
                <c:pt idx="366">
                  <c:v>-3.0913896948163706E-3</c:v>
                </c:pt>
                <c:pt idx="367">
                  <c:v>-3.4977892297547398E-3</c:v>
                </c:pt>
                <c:pt idx="368">
                  <c:v>-3.4018955389569787E-3</c:v>
                </c:pt>
                <c:pt idx="369">
                  <c:v>-3.0406624458123592E-3</c:v>
                </c:pt>
                <c:pt idx="370">
                  <c:v>-2.9888660425285698E-3</c:v>
                </c:pt>
                <c:pt idx="371">
                  <c:v>-3.0496797295427305E-3</c:v>
                </c:pt>
                <c:pt idx="372">
                  <c:v>-3.0673172353203886E-3</c:v>
                </c:pt>
                <c:pt idx="373">
                  <c:v>-2.9296346049250098E-3</c:v>
                </c:pt>
                <c:pt idx="374">
                  <c:v>-2.4256183069155694E-3</c:v>
                </c:pt>
                <c:pt idx="375">
                  <c:v>-2.8454115417844198E-3</c:v>
                </c:pt>
                <c:pt idx="376">
                  <c:v>-2.8412469679324199E-3</c:v>
                </c:pt>
                <c:pt idx="377">
                  <c:v>-3.35248245238518E-3</c:v>
                </c:pt>
                <c:pt idx="378">
                  <c:v>-2.6081407927449601E-3</c:v>
                </c:pt>
                <c:pt idx="379">
                  <c:v>-2.5699437377966201E-3</c:v>
                </c:pt>
                <c:pt idx="380">
                  <c:v>-2.7086641273399398E-3</c:v>
                </c:pt>
                <c:pt idx="381">
                  <c:v>-2.7523364412331795E-3</c:v>
                </c:pt>
                <c:pt idx="382">
                  <c:v>-2.6208827572986597E-3</c:v>
                </c:pt>
                <c:pt idx="383">
                  <c:v>-2.5707634399054803E-3</c:v>
                </c:pt>
                <c:pt idx="384">
                  <c:v>-2.7046254638776195E-3</c:v>
                </c:pt>
                <c:pt idx="385">
                  <c:v>-2.4529916581172997E-3</c:v>
                </c:pt>
                <c:pt idx="386">
                  <c:v>-2.5317992457871701E-3</c:v>
                </c:pt>
                <c:pt idx="387">
                  <c:v>-2.5449389214031691E-3</c:v>
                </c:pt>
                <c:pt idx="388">
                  <c:v>-2.41259051517773E-3</c:v>
                </c:pt>
                <c:pt idx="389">
                  <c:v>-2.3972941082206494E-3</c:v>
                </c:pt>
                <c:pt idx="390">
                  <c:v>-2.3818549906877702E-3</c:v>
                </c:pt>
                <c:pt idx="391">
                  <c:v>-2.4748893434889401E-3</c:v>
                </c:pt>
                <c:pt idx="392">
                  <c:v>-2.0037562504739998E-3</c:v>
                </c:pt>
                <c:pt idx="393">
                  <c:v>-2.658710685523149E-3</c:v>
                </c:pt>
                <c:pt idx="394">
                  <c:v>-2.01798295455546E-3</c:v>
                </c:pt>
                <c:pt idx="395">
                  <c:v>-2.4430624819729001E-3</c:v>
                </c:pt>
                <c:pt idx="396">
                  <c:v>-2.0251327849223305E-3</c:v>
                </c:pt>
                <c:pt idx="397">
                  <c:v>-1.8413671016332999E-3</c:v>
                </c:pt>
                <c:pt idx="398">
                  <c:v>-2.0318171962116997E-3</c:v>
                </c:pt>
                <c:pt idx="399">
                  <c:v>-2.3266728150019805E-3</c:v>
                </c:pt>
                <c:pt idx="400">
                  <c:v>-1.84597979597356E-3</c:v>
                </c:pt>
                <c:pt idx="401">
                  <c:v>-1.9908188648400894E-3</c:v>
                </c:pt>
                <c:pt idx="402">
                  <c:v>-2.0789621131029894E-3</c:v>
                </c:pt>
                <c:pt idx="403">
                  <c:v>-1.8537118598942503E-3</c:v>
                </c:pt>
                <c:pt idx="404">
                  <c:v>-1.7172427351965802E-3</c:v>
                </c:pt>
                <c:pt idx="405">
                  <c:v>-1.96175519710096E-3</c:v>
                </c:pt>
                <c:pt idx="406">
                  <c:v>-1.8122893909548999E-3</c:v>
                </c:pt>
                <c:pt idx="407">
                  <c:v>-2.02227979963254E-3</c:v>
                </c:pt>
                <c:pt idx="408">
                  <c:v>-1.9373725542095599E-3</c:v>
                </c:pt>
                <c:pt idx="409">
                  <c:v>-1.96807811022381E-3</c:v>
                </c:pt>
                <c:pt idx="410">
                  <c:v>-1.57169563357229E-3</c:v>
                </c:pt>
                <c:pt idx="411">
                  <c:v>-1.64145726932929E-3</c:v>
                </c:pt>
                <c:pt idx="412">
                  <c:v>-1.6083473711319099E-3</c:v>
                </c:pt>
                <c:pt idx="413">
                  <c:v>-1.72077334212872E-3</c:v>
                </c:pt>
                <c:pt idx="414">
                  <c:v>-1.7696398167572601E-3</c:v>
                </c:pt>
                <c:pt idx="415">
                  <c:v>-1.8030592015634301E-3</c:v>
                </c:pt>
                <c:pt idx="416">
                  <c:v>-1.6428781499939803E-3</c:v>
                </c:pt>
                <c:pt idx="417">
                  <c:v>-1.6069252434363101E-3</c:v>
                </c:pt>
                <c:pt idx="418">
                  <c:v>-1.3653001589091201E-3</c:v>
                </c:pt>
                <c:pt idx="419">
                  <c:v>-1.5047682488216199E-3</c:v>
                </c:pt>
                <c:pt idx="420">
                  <c:v>-1.8799453935116599E-3</c:v>
                </c:pt>
                <c:pt idx="421">
                  <c:v>-1.3045787467262902E-3</c:v>
                </c:pt>
                <c:pt idx="422">
                  <c:v>-1.3013970747692803E-3</c:v>
                </c:pt>
                <c:pt idx="423">
                  <c:v>-1.67351879622402E-3</c:v>
                </c:pt>
                <c:pt idx="424">
                  <c:v>-1.3417504924291299E-3</c:v>
                </c:pt>
                <c:pt idx="425">
                  <c:v>-1.7441529662960396E-3</c:v>
                </c:pt>
                <c:pt idx="426">
                  <c:v>-1.36454697138788E-3</c:v>
                </c:pt>
                <c:pt idx="427">
                  <c:v>-1.0957054888081101E-3</c:v>
                </c:pt>
                <c:pt idx="428">
                  <c:v>-1.24847399740702E-3</c:v>
                </c:pt>
                <c:pt idx="429">
                  <c:v>-1.3235981672892196E-3</c:v>
                </c:pt>
                <c:pt idx="430">
                  <c:v>-1.4523994897785997E-3</c:v>
                </c:pt>
                <c:pt idx="431">
                  <c:v>-1.0203513757005599E-3</c:v>
                </c:pt>
                <c:pt idx="432">
                  <c:v>-8.5328333392453693E-4</c:v>
                </c:pt>
                <c:pt idx="433">
                  <c:v>-1.0455356865577399E-3</c:v>
                </c:pt>
                <c:pt idx="434">
                  <c:v>-9.7643414255799122E-4</c:v>
                </c:pt>
                <c:pt idx="435">
                  <c:v>-1.18801770474874E-3</c:v>
                </c:pt>
                <c:pt idx="436">
                  <c:v>-1.25178398349135E-3</c:v>
                </c:pt>
                <c:pt idx="437">
                  <c:v>-1.1966471270739001E-3</c:v>
                </c:pt>
                <c:pt idx="438">
                  <c:v>-1.3949783301541198E-3</c:v>
                </c:pt>
                <c:pt idx="439">
                  <c:v>-1.3470418686551998E-3</c:v>
                </c:pt>
                <c:pt idx="440">
                  <c:v>-1.4224830668467801E-3</c:v>
                </c:pt>
                <c:pt idx="441">
                  <c:v>-8.1922808374201796E-4</c:v>
                </c:pt>
                <c:pt idx="442">
                  <c:v>-1.1403729266135103E-3</c:v>
                </c:pt>
                <c:pt idx="443">
                  <c:v>-1.3638768941177698E-3</c:v>
                </c:pt>
                <c:pt idx="444">
                  <c:v>-1.0322459504550402E-3</c:v>
                </c:pt>
                <c:pt idx="445">
                  <c:v>-8.4426505247847694E-4</c:v>
                </c:pt>
                <c:pt idx="446">
                  <c:v>-1.0475842535697698E-3</c:v>
                </c:pt>
                <c:pt idx="447">
                  <c:v>-1.0323480009333302E-3</c:v>
                </c:pt>
                <c:pt idx="448">
                  <c:v>-7.7204713960554684E-4</c:v>
                </c:pt>
                <c:pt idx="449">
                  <c:v>-1.19204282231067E-3</c:v>
                </c:pt>
                <c:pt idx="450">
                  <c:v>-1.2670011624891201E-3</c:v>
                </c:pt>
                <c:pt idx="451">
                  <c:v>-1.08292850416092E-3</c:v>
                </c:pt>
                <c:pt idx="452">
                  <c:v>-9.4749924312509414E-4</c:v>
                </c:pt>
                <c:pt idx="453">
                  <c:v>-1.2696320857230601E-3</c:v>
                </c:pt>
                <c:pt idx="454">
                  <c:v>-1.1843164660376702E-3</c:v>
                </c:pt>
                <c:pt idx="455">
                  <c:v>-9.4765084429582224E-4</c:v>
                </c:pt>
                <c:pt idx="456">
                  <c:v>-5.8644623277359599E-4</c:v>
                </c:pt>
                <c:pt idx="457">
                  <c:v>-1.0433044517981201E-3</c:v>
                </c:pt>
                <c:pt idx="458">
                  <c:v>-7.6028063477906482E-4</c:v>
                </c:pt>
                <c:pt idx="459">
                  <c:v>-5.6250520066214395E-4</c:v>
                </c:pt>
                <c:pt idx="460">
                  <c:v>-1.01051550655029E-3</c:v>
                </c:pt>
                <c:pt idx="461">
                  <c:v>-7.13174291149698E-4</c:v>
                </c:pt>
                <c:pt idx="462">
                  <c:v>-7.3140569907081965E-4</c:v>
                </c:pt>
                <c:pt idx="463">
                  <c:v>-1.2683759452443199E-3</c:v>
                </c:pt>
                <c:pt idx="464">
                  <c:v>-6.8187708717459816E-4</c:v>
                </c:pt>
                <c:pt idx="465">
                  <c:v>-7.4868156747243109E-4</c:v>
                </c:pt>
                <c:pt idx="466">
                  <c:v>-8.846463440477239E-4</c:v>
                </c:pt>
                <c:pt idx="467">
                  <c:v>-6.6310699202176704E-4</c:v>
                </c:pt>
                <c:pt idx="468">
                  <c:v>-9.1997463562165627E-4</c:v>
                </c:pt>
                <c:pt idx="469">
                  <c:v>-5.9882383243348202E-4</c:v>
                </c:pt>
                <c:pt idx="470">
                  <c:v>-5.8882420006511893E-4</c:v>
                </c:pt>
                <c:pt idx="471">
                  <c:v>-8.292384717947241E-4</c:v>
                </c:pt>
                <c:pt idx="472">
                  <c:v>-7.2026684512138726E-4</c:v>
                </c:pt>
                <c:pt idx="473">
                  <c:v>-8.3373156564903205E-4</c:v>
                </c:pt>
                <c:pt idx="474">
                  <c:v>-8.4448785673885086E-4</c:v>
                </c:pt>
                <c:pt idx="475">
                  <c:v>-4.7776624404605183E-4</c:v>
                </c:pt>
                <c:pt idx="476">
                  <c:v>-5.0713655053868901E-4</c:v>
                </c:pt>
                <c:pt idx="477">
                  <c:v>-3.49012479659905E-4</c:v>
                </c:pt>
                <c:pt idx="478">
                  <c:v>-5.1713538420017401E-4</c:v>
                </c:pt>
                <c:pt idx="479">
                  <c:v>-6.6497776469986991E-4</c:v>
                </c:pt>
                <c:pt idx="480">
                  <c:v>-5.4823095439360302E-4</c:v>
                </c:pt>
                <c:pt idx="481">
                  <c:v>-6.8110256916042999E-4</c:v>
                </c:pt>
                <c:pt idx="482">
                  <c:v>-4.3124279335415795E-4</c:v>
                </c:pt>
                <c:pt idx="483">
                  <c:v>-7.999563667340227E-4</c:v>
                </c:pt>
                <c:pt idx="484">
                  <c:v>-5.6435692164313888E-4</c:v>
                </c:pt>
                <c:pt idx="485">
                  <c:v>-3.6399858265667696E-4</c:v>
                </c:pt>
                <c:pt idx="486">
                  <c:v>-5.9330418559966401E-4</c:v>
                </c:pt>
                <c:pt idx="487">
                  <c:v>-3.9618786564687991E-4</c:v>
                </c:pt>
                <c:pt idx="488">
                  <c:v>-6.9847774324216505E-4</c:v>
                </c:pt>
                <c:pt idx="489">
                  <c:v>-6.4525366786938321E-4</c:v>
                </c:pt>
                <c:pt idx="490">
                  <c:v>-6.7059242002187591E-4</c:v>
                </c:pt>
                <c:pt idx="491">
                  <c:v>-4.8135356843204098E-4</c:v>
                </c:pt>
                <c:pt idx="492">
                  <c:v>-6.8387655250035095E-4</c:v>
                </c:pt>
                <c:pt idx="493">
                  <c:v>-5.4030853033282299E-4</c:v>
                </c:pt>
                <c:pt idx="494">
                  <c:v>-9.0588171917715976E-4</c:v>
                </c:pt>
                <c:pt idx="495">
                  <c:v>-3.8510546244196987E-4</c:v>
                </c:pt>
                <c:pt idx="496">
                  <c:v>-7.4807345959016002E-4</c:v>
                </c:pt>
                <c:pt idx="497">
                  <c:v>-3.7810757220313511E-4</c:v>
                </c:pt>
                <c:pt idx="498">
                  <c:v>-5.38015873189579E-4</c:v>
                </c:pt>
                <c:pt idx="499">
                  <c:v>-1.9429061831033299E-4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2423-4EE3-9A71-F291C466C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 val="autoZero"/>
        <c:crossBetween val="between"/>
      </c:val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Phase (°)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THD vs Input Amlitude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PWR_18V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cat>
            <c:strRef>
              <c:f>'THD vs Input Level 20240612'!$T$3:$T$27</c:f>
              <c:strCache>
                <c:ptCount val="25"/>
                <c:pt idx="0">
                  <c:v>7 V RMS</c:v>
                </c:pt>
                <c:pt idx="2">
                  <c:v>6.5 V RMS</c:v>
                </c:pt>
                <c:pt idx="4">
                  <c:v>6 V RMS</c:v>
                </c:pt>
                <c:pt idx="6">
                  <c:v>5.5 V RMS</c:v>
                </c:pt>
                <c:pt idx="8">
                  <c:v>5 V RMS</c:v>
                </c:pt>
                <c:pt idx="10">
                  <c:v>4.5 V RMS</c:v>
                </c:pt>
                <c:pt idx="12">
                  <c:v>4 V RMS</c:v>
                </c:pt>
                <c:pt idx="14">
                  <c:v>3.5 V RMS</c:v>
                </c:pt>
                <c:pt idx="16">
                  <c:v>3 V RMS</c:v>
                </c:pt>
                <c:pt idx="18">
                  <c:v>2.5 V RMS</c:v>
                </c:pt>
                <c:pt idx="20">
                  <c:v>2 V RMS</c:v>
                </c:pt>
                <c:pt idx="22">
                  <c:v>1.5 V RMS</c:v>
                </c:pt>
                <c:pt idx="24">
                  <c:v>1 V RMS</c:v>
                </c:pt>
              </c:strCache>
            </c:strRef>
          </c:cat>
          <c:val>
            <c:numRef>
              <c:f>'THD vs Input Level 20240612'!$AA$3:$AA$27</c:f>
              <c:numCache>
                <c:formatCode>General</c:formatCode>
                <c:ptCount val="25"/>
                <c:pt idx="0">
                  <c:v>-111.54347969179041</c:v>
                </c:pt>
                <c:pt idx="2">
                  <c:v>-110.9067310327888</c:v>
                </c:pt>
                <c:pt idx="4">
                  <c:v>-111.37211559553361</c:v>
                </c:pt>
                <c:pt idx="6">
                  <c:v>-111.87514682672105</c:v>
                </c:pt>
                <c:pt idx="8" formatCode="0.000">
                  <c:v>-112.59968198187738</c:v>
                </c:pt>
                <c:pt idx="10">
                  <c:v>-113.48822367130029</c:v>
                </c:pt>
                <c:pt idx="12">
                  <c:v>-114.08354861293178</c:v>
                </c:pt>
                <c:pt idx="14">
                  <c:v>-115.21621822890837</c:v>
                </c:pt>
                <c:pt idx="16">
                  <c:v>-116.30689109287486</c:v>
                </c:pt>
                <c:pt idx="18">
                  <c:v>-117.73375980523517</c:v>
                </c:pt>
                <c:pt idx="20">
                  <c:v>-119.3201956652004</c:v>
                </c:pt>
                <c:pt idx="22">
                  <c:v>-121.82046850136508</c:v>
                </c:pt>
                <c:pt idx="24">
                  <c:v>-126.47947007449008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ED5B-4B9D-99C2-31BF566069C2}"/>
            </c:ext>
          </c:extLst>
        </c:ser>
        <c:ser>
          <c:idx val="1"/>
          <c:order val="1"/>
          <c:tx>
            <c:v>BAT_12V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val>
            <c:numRef>
              <c:f>'THD vs Input Level 20240612'!$AU$3:$AU$27</c:f>
              <c:numCache>
                <c:formatCode>General</c:formatCode>
                <c:ptCount val="25"/>
                <c:pt idx="8">
                  <c:v>-110.93011748959994</c:v>
                </c:pt>
                <c:pt idx="12">
                  <c:v>-114.70421749342009</c:v>
                </c:pt>
                <c:pt idx="16">
                  <c:v>-120.80859372741941</c:v>
                </c:pt>
                <c:pt idx="20">
                  <c:v>-122.35410036329742</c:v>
                </c:pt>
                <c:pt idx="24">
                  <c:v>-124.73849308859464</c:v>
                </c:pt>
              </c:numCache>
            </c:numRef>
          </c:val>
          <c:smooth val="0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ED5B-4B9D-99C2-31BF56606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1"/>
        <c:extLst>
          <c:ext xmlns:sm="smo" uri="smo">
            <sm:boxPlot xmlns:sm="smo" val="0"/>
            <sm:turned xmlns:sm="smo" val="0"/>
          </c:ext>
        </c:extLst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rgbClr val="D8D8D8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30"/>
        <c:auto val="1"/>
        <c:lblAlgn val="ctr"/>
        <c:lblOffset val="100"/>
        <c:noMultiLvlLbl val="0"/>
      </c:catAx>
      <c:valAx>
        <c:axId val="11"/>
        <c:scaling>
          <c:orientation val="minMax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solidFill>
          <a:srgbClr val="FFFFFF"/>
        </a:solidFill>
        <a:ln w="9525">
          <a:solidFill>
            <a:srgbClr val="000000"/>
          </a:solidFill>
        </a:ln>
      </c:spPr>
    </c:plotArea>
    <c:legend>
      <c:legendPos val="t"/>
      <c:overlay val="0"/>
      <c:spPr>
        <a:noFill/>
        <a:ln w="9525">
          <a:noFill/>
        </a:ln>
      </c:spPr>
      <c:txPr>
        <a:bodyPr anchor="ctr" anchorCtr="1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800" b="1" i="0" u="none" strike="noStrike" kern="100">
                <a:solidFill>
                  <a:srgbClr val="000000"/>
                </a:solidFill>
                <a:latin typeface="Calibri" charset="0"/>
              </a:defRPr>
            </a:pPr>
            <a:r>
              <a:t>THD+N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CH2 (OUT)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'THD+N Sweep'!$C$5:$C$504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'THD+N Sweep'!$D$5:$D$504</c:f>
              <c:numCache>
                <c:formatCode>General</c:formatCode>
                <c:ptCount val="500"/>
                <c:pt idx="0">
                  <c:v>-71.437777018591305</c:v>
                </c:pt>
                <c:pt idx="1">
                  <c:v>-71.663389451151403</c:v>
                </c:pt>
                <c:pt idx="2">
                  <c:v>-71.871952118747203</c:v>
                </c:pt>
                <c:pt idx="3">
                  <c:v>-72.082695611611001</c:v>
                </c:pt>
                <c:pt idx="4">
                  <c:v>-72.290529473483105</c:v>
                </c:pt>
                <c:pt idx="5">
                  <c:v>-72.501504609621605</c:v>
                </c:pt>
                <c:pt idx="6">
                  <c:v>-72.695132356331499</c:v>
                </c:pt>
                <c:pt idx="7">
                  <c:v>-72.913256262424781</c:v>
                </c:pt>
                <c:pt idx="8">
                  <c:v>-73.124811640204186</c:v>
                </c:pt>
                <c:pt idx="9">
                  <c:v>-73.344140045369286</c:v>
                </c:pt>
                <c:pt idx="10">
                  <c:v>-73.562711239448603</c:v>
                </c:pt>
                <c:pt idx="11">
                  <c:v>-73.776112810547204</c:v>
                </c:pt>
                <c:pt idx="12">
                  <c:v>-74.005271669605605</c:v>
                </c:pt>
                <c:pt idx="13">
                  <c:v>-74.228485449943506</c:v>
                </c:pt>
                <c:pt idx="14">
                  <c:v>-74.439896680489312</c:v>
                </c:pt>
                <c:pt idx="15">
                  <c:v>-74.669278967153105</c:v>
                </c:pt>
                <c:pt idx="16">
                  <c:v>-74.870491560979005</c:v>
                </c:pt>
                <c:pt idx="17">
                  <c:v>-75.097813790286807</c:v>
                </c:pt>
                <c:pt idx="18">
                  <c:v>-75.32059852041678</c:v>
                </c:pt>
                <c:pt idx="19">
                  <c:v>-75.543577168785404</c:v>
                </c:pt>
                <c:pt idx="20">
                  <c:v>-75.751784548315001</c:v>
                </c:pt>
                <c:pt idx="21">
                  <c:v>-75.967853020164995</c:v>
                </c:pt>
                <c:pt idx="22">
                  <c:v>-76.1794318128171</c:v>
                </c:pt>
                <c:pt idx="23">
                  <c:v>-76.410505608551105</c:v>
                </c:pt>
                <c:pt idx="24">
                  <c:v>-76.609659509722491</c:v>
                </c:pt>
                <c:pt idx="25">
                  <c:v>-76.840902281028804</c:v>
                </c:pt>
                <c:pt idx="26">
                  <c:v>-77.052698943635207</c:v>
                </c:pt>
                <c:pt idx="27">
                  <c:v>-77.256748546160594</c:v>
                </c:pt>
                <c:pt idx="28">
                  <c:v>-77.468113466927093</c:v>
                </c:pt>
                <c:pt idx="29">
                  <c:v>-77.66610744837638</c:v>
                </c:pt>
                <c:pt idx="30">
                  <c:v>-77.861206284544195</c:v>
                </c:pt>
                <c:pt idx="31">
                  <c:v>-78.077697914623414</c:v>
                </c:pt>
                <c:pt idx="32">
                  <c:v>-78.293694941174394</c:v>
                </c:pt>
                <c:pt idx="33">
                  <c:v>-78.516011256532494</c:v>
                </c:pt>
                <c:pt idx="34">
                  <c:v>-78.715032077924604</c:v>
                </c:pt>
                <c:pt idx="35">
                  <c:v>-78.910725925150004</c:v>
                </c:pt>
                <c:pt idx="36">
                  <c:v>-79.152103984833005</c:v>
                </c:pt>
                <c:pt idx="37">
                  <c:v>-79.343138149132997</c:v>
                </c:pt>
                <c:pt idx="38">
                  <c:v>-79.532800118983999</c:v>
                </c:pt>
                <c:pt idx="39">
                  <c:v>-79.735701542820379</c:v>
                </c:pt>
                <c:pt idx="40">
                  <c:v>-79.958328666061405</c:v>
                </c:pt>
                <c:pt idx="41">
                  <c:v>-80.174320308496974</c:v>
                </c:pt>
                <c:pt idx="42">
                  <c:v>-80.364728457475692</c:v>
                </c:pt>
                <c:pt idx="43">
                  <c:v>-80.586411949311298</c:v>
                </c:pt>
                <c:pt idx="44">
                  <c:v>-80.783624592928007</c:v>
                </c:pt>
                <c:pt idx="45">
                  <c:v>-80.978941473144701</c:v>
                </c:pt>
                <c:pt idx="46">
                  <c:v>-81.183119730507798</c:v>
                </c:pt>
                <c:pt idx="47">
                  <c:v>-81.367652614685895</c:v>
                </c:pt>
                <c:pt idx="48">
                  <c:v>-81.563498638440194</c:v>
                </c:pt>
                <c:pt idx="49">
                  <c:v>-81.745847544132303</c:v>
                </c:pt>
                <c:pt idx="50">
                  <c:v>-81.975296717390705</c:v>
                </c:pt>
                <c:pt idx="51">
                  <c:v>-82.176561403593979</c:v>
                </c:pt>
                <c:pt idx="52">
                  <c:v>-82.370868842378684</c:v>
                </c:pt>
                <c:pt idx="53">
                  <c:v>-82.563991945930496</c:v>
                </c:pt>
                <c:pt idx="54">
                  <c:v>-82.753399819864583</c:v>
                </c:pt>
                <c:pt idx="55">
                  <c:v>-82.952758687894701</c:v>
                </c:pt>
                <c:pt idx="56">
                  <c:v>-83.140239122486804</c:v>
                </c:pt>
                <c:pt idx="57">
                  <c:v>-83.340560357015903</c:v>
                </c:pt>
                <c:pt idx="58">
                  <c:v>-83.523605485539903</c:v>
                </c:pt>
                <c:pt idx="59">
                  <c:v>-83.693806388831604</c:v>
                </c:pt>
                <c:pt idx="60">
                  <c:v>-83.872148332385606</c:v>
                </c:pt>
                <c:pt idx="61">
                  <c:v>-84.029114888776974</c:v>
                </c:pt>
                <c:pt idx="62">
                  <c:v>-84.2527308597831</c:v>
                </c:pt>
                <c:pt idx="63">
                  <c:v>-84.429395335535901</c:v>
                </c:pt>
                <c:pt idx="64">
                  <c:v>-84.658418533442614</c:v>
                </c:pt>
                <c:pt idx="65">
                  <c:v>-84.814965891704404</c:v>
                </c:pt>
                <c:pt idx="66">
                  <c:v>-85.017590330821605</c:v>
                </c:pt>
                <c:pt idx="67">
                  <c:v>-85.162706658877383</c:v>
                </c:pt>
                <c:pt idx="68">
                  <c:v>-85.33935138492518</c:v>
                </c:pt>
                <c:pt idx="69">
                  <c:v>-85.546543041487482</c:v>
                </c:pt>
                <c:pt idx="70">
                  <c:v>-85.740530182868781</c:v>
                </c:pt>
                <c:pt idx="71">
                  <c:v>-85.885776695776002</c:v>
                </c:pt>
                <c:pt idx="72">
                  <c:v>-86.100233554025394</c:v>
                </c:pt>
                <c:pt idx="73">
                  <c:v>-86.226678258554784</c:v>
                </c:pt>
                <c:pt idx="74">
                  <c:v>-86.384645923466707</c:v>
                </c:pt>
                <c:pt idx="75">
                  <c:v>-86.595523769556607</c:v>
                </c:pt>
                <c:pt idx="76">
                  <c:v>-86.753867714598897</c:v>
                </c:pt>
                <c:pt idx="77">
                  <c:v>-86.906202840941305</c:v>
                </c:pt>
                <c:pt idx="78">
                  <c:v>-87.074125606954496</c:v>
                </c:pt>
                <c:pt idx="79">
                  <c:v>-87.175955883203386</c:v>
                </c:pt>
                <c:pt idx="80">
                  <c:v>-87.406780826707603</c:v>
                </c:pt>
                <c:pt idx="81">
                  <c:v>-87.568020981225402</c:v>
                </c:pt>
                <c:pt idx="82">
                  <c:v>-87.744777843286002</c:v>
                </c:pt>
                <c:pt idx="83">
                  <c:v>-87.87566284005598</c:v>
                </c:pt>
                <c:pt idx="84">
                  <c:v>-88.057276318844487</c:v>
                </c:pt>
                <c:pt idx="85">
                  <c:v>-88.261746213779389</c:v>
                </c:pt>
                <c:pt idx="86">
                  <c:v>-88.400050319804905</c:v>
                </c:pt>
                <c:pt idx="87">
                  <c:v>-88.538840765886306</c:v>
                </c:pt>
                <c:pt idx="88">
                  <c:v>-88.684032310847414</c:v>
                </c:pt>
                <c:pt idx="89">
                  <c:v>-88.797390189365601</c:v>
                </c:pt>
                <c:pt idx="90">
                  <c:v>-89.014176426736512</c:v>
                </c:pt>
                <c:pt idx="91">
                  <c:v>-89.127647619155582</c:v>
                </c:pt>
                <c:pt idx="92">
                  <c:v>-89.257165389799397</c:v>
                </c:pt>
                <c:pt idx="93">
                  <c:v>-89.434902037151502</c:v>
                </c:pt>
                <c:pt idx="94">
                  <c:v>-89.552960214792193</c:v>
                </c:pt>
                <c:pt idx="95">
                  <c:v>-89.672932081956489</c:v>
                </c:pt>
                <c:pt idx="96">
                  <c:v>-89.893954181028491</c:v>
                </c:pt>
                <c:pt idx="97">
                  <c:v>-89.977425824595301</c:v>
                </c:pt>
                <c:pt idx="98">
                  <c:v>-90.165915933891853</c:v>
                </c:pt>
                <c:pt idx="99">
                  <c:v>-90.356580118647017</c:v>
                </c:pt>
                <c:pt idx="100">
                  <c:v>-90.447662019066001</c:v>
                </c:pt>
                <c:pt idx="101">
                  <c:v>-90.586179853375086</c:v>
                </c:pt>
                <c:pt idx="102">
                  <c:v>-90.712561007959906</c:v>
                </c:pt>
                <c:pt idx="103">
                  <c:v>-90.860233745453598</c:v>
                </c:pt>
                <c:pt idx="104">
                  <c:v>-90.979570567191303</c:v>
                </c:pt>
                <c:pt idx="105">
                  <c:v>-91.08507248539901</c:v>
                </c:pt>
                <c:pt idx="106">
                  <c:v>-91.231019060765803</c:v>
                </c:pt>
                <c:pt idx="107">
                  <c:v>-91.302783984363373</c:v>
                </c:pt>
                <c:pt idx="108">
                  <c:v>-91.496309210516173</c:v>
                </c:pt>
                <c:pt idx="109">
                  <c:v>-91.490236621314878</c:v>
                </c:pt>
                <c:pt idx="110">
                  <c:v>-91.720984215956307</c:v>
                </c:pt>
                <c:pt idx="111">
                  <c:v>-91.847102984992404</c:v>
                </c:pt>
                <c:pt idx="112">
                  <c:v>-91.969040056651593</c:v>
                </c:pt>
                <c:pt idx="113">
                  <c:v>-92.069354319579389</c:v>
                </c:pt>
                <c:pt idx="114">
                  <c:v>-92.115533169312101</c:v>
                </c:pt>
                <c:pt idx="115">
                  <c:v>-92.332122959629203</c:v>
                </c:pt>
                <c:pt idx="116">
                  <c:v>-92.376577164541104</c:v>
                </c:pt>
                <c:pt idx="117">
                  <c:v>-92.465409452267053</c:v>
                </c:pt>
                <c:pt idx="118">
                  <c:v>-92.600212847826683</c:v>
                </c:pt>
                <c:pt idx="119">
                  <c:v>-92.704814449712302</c:v>
                </c:pt>
                <c:pt idx="120">
                  <c:v>-92.804322147793599</c:v>
                </c:pt>
                <c:pt idx="121">
                  <c:v>-92.836987510725294</c:v>
                </c:pt>
                <c:pt idx="122">
                  <c:v>-93.082454072065104</c:v>
                </c:pt>
                <c:pt idx="123">
                  <c:v>-93.094510845897105</c:v>
                </c:pt>
                <c:pt idx="124">
                  <c:v>-93.2410109805042</c:v>
                </c:pt>
                <c:pt idx="125">
                  <c:v>-93.256710302754684</c:v>
                </c:pt>
                <c:pt idx="126">
                  <c:v>-93.403171367368628</c:v>
                </c:pt>
                <c:pt idx="127">
                  <c:v>-93.479664322640403</c:v>
                </c:pt>
                <c:pt idx="128">
                  <c:v>-93.601644054830089</c:v>
                </c:pt>
                <c:pt idx="129">
                  <c:v>-93.686249573810585</c:v>
                </c:pt>
                <c:pt idx="130">
                  <c:v>-93.774382371801792</c:v>
                </c:pt>
                <c:pt idx="131">
                  <c:v>-93.942732985598695</c:v>
                </c:pt>
                <c:pt idx="132">
                  <c:v>-93.920590246503281</c:v>
                </c:pt>
                <c:pt idx="133">
                  <c:v>-94.010739730389773</c:v>
                </c:pt>
                <c:pt idx="134">
                  <c:v>-94.068422355903806</c:v>
                </c:pt>
                <c:pt idx="135">
                  <c:v>-94.132392654193595</c:v>
                </c:pt>
                <c:pt idx="136">
                  <c:v>-94.298342516868601</c:v>
                </c:pt>
                <c:pt idx="137">
                  <c:v>-94.345635684620902</c:v>
                </c:pt>
                <c:pt idx="138">
                  <c:v>-94.454255646536808</c:v>
                </c:pt>
                <c:pt idx="139">
                  <c:v>-94.537435469039806</c:v>
                </c:pt>
                <c:pt idx="140">
                  <c:v>-94.566706093467204</c:v>
                </c:pt>
                <c:pt idx="141">
                  <c:v>-94.625476677309507</c:v>
                </c:pt>
                <c:pt idx="142">
                  <c:v>-94.754119965449206</c:v>
                </c:pt>
                <c:pt idx="143">
                  <c:v>-94.748415250602307</c:v>
                </c:pt>
                <c:pt idx="144">
                  <c:v>-94.888070574231193</c:v>
                </c:pt>
                <c:pt idx="145">
                  <c:v>-94.921962239590414</c:v>
                </c:pt>
                <c:pt idx="146">
                  <c:v>-95.039029913024876</c:v>
                </c:pt>
                <c:pt idx="147">
                  <c:v>-95.056078274101452</c:v>
                </c:pt>
                <c:pt idx="148">
                  <c:v>-95.16467014244499</c:v>
                </c:pt>
                <c:pt idx="149">
                  <c:v>-95.174240897289408</c:v>
                </c:pt>
                <c:pt idx="150">
                  <c:v>-95.309171188328989</c:v>
                </c:pt>
                <c:pt idx="151">
                  <c:v>-95.287089429822572</c:v>
                </c:pt>
                <c:pt idx="152">
                  <c:v>-95.334959144520468</c:v>
                </c:pt>
                <c:pt idx="153">
                  <c:v>-95.469562449793003</c:v>
                </c:pt>
                <c:pt idx="154">
                  <c:v>-95.558175943289214</c:v>
                </c:pt>
                <c:pt idx="155">
                  <c:v>-95.475767563509905</c:v>
                </c:pt>
                <c:pt idx="156">
                  <c:v>-95.481942337766796</c:v>
                </c:pt>
                <c:pt idx="157">
                  <c:v>-95.697684257008078</c:v>
                </c:pt>
                <c:pt idx="158">
                  <c:v>-95.6565365464227</c:v>
                </c:pt>
                <c:pt idx="159">
                  <c:v>-95.755544949508604</c:v>
                </c:pt>
                <c:pt idx="160">
                  <c:v>-95.735040624183085</c:v>
                </c:pt>
                <c:pt idx="161">
                  <c:v>-95.786346338602883</c:v>
                </c:pt>
                <c:pt idx="162">
                  <c:v>-95.833269578539202</c:v>
                </c:pt>
                <c:pt idx="163">
                  <c:v>-95.825447051145602</c:v>
                </c:pt>
                <c:pt idx="164">
                  <c:v>-95.963528371186683</c:v>
                </c:pt>
                <c:pt idx="165">
                  <c:v>-95.972375715597792</c:v>
                </c:pt>
                <c:pt idx="166">
                  <c:v>-96.0175862365586</c:v>
                </c:pt>
                <c:pt idx="167">
                  <c:v>-96.161458353736194</c:v>
                </c:pt>
                <c:pt idx="168">
                  <c:v>-96.044624566537792</c:v>
                </c:pt>
                <c:pt idx="169">
                  <c:v>-96.146949755769285</c:v>
                </c:pt>
                <c:pt idx="170">
                  <c:v>-96.281376526714212</c:v>
                </c:pt>
                <c:pt idx="171">
                  <c:v>-96.336660596714808</c:v>
                </c:pt>
                <c:pt idx="172">
                  <c:v>-96.447716051253792</c:v>
                </c:pt>
                <c:pt idx="173">
                  <c:v>-96.385750174586391</c:v>
                </c:pt>
                <c:pt idx="174">
                  <c:v>-96.395882840154101</c:v>
                </c:pt>
                <c:pt idx="175">
                  <c:v>-96.297197490983606</c:v>
                </c:pt>
                <c:pt idx="176">
                  <c:v>-96.469216205183201</c:v>
                </c:pt>
                <c:pt idx="177">
                  <c:v>-96.555556895761683</c:v>
                </c:pt>
                <c:pt idx="178">
                  <c:v>-96.598447112126706</c:v>
                </c:pt>
                <c:pt idx="179">
                  <c:v>-96.524882308857599</c:v>
                </c:pt>
                <c:pt idx="180">
                  <c:v>-96.573511351330211</c:v>
                </c:pt>
                <c:pt idx="181">
                  <c:v>-96.688355068186397</c:v>
                </c:pt>
                <c:pt idx="182">
                  <c:v>-96.656019361754403</c:v>
                </c:pt>
                <c:pt idx="183">
                  <c:v>-96.691697701898704</c:v>
                </c:pt>
                <c:pt idx="184">
                  <c:v>-96.839976834824597</c:v>
                </c:pt>
                <c:pt idx="185">
                  <c:v>-96.843478395623194</c:v>
                </c:pt>
                <c:pt idx="186">
                  <c:v>-96.658043217291805</c:v>
                </c:pt>
                <c:pt idx="187">
                  <c:v>-96.775153450859008</c:v>
                </c:pt>
                <c:pt idx="188">
                  <c:v>-96.780938801646215</c:v>
                </c:pt>
                <c:pt idx="189">
                  <c:v>-96.857592422156102</c:v>
                </c:pt>
                <c:pt idx="190">
                  <c:v>-96.946326887863393</c:v>
                </c:pt>
                <c:pt idx="191">
                  <c:v>-96.904346009907201</c:v>
                </c:pt>
                <c:pt idx="192">
                  <c:v>-96.924204654790088</c:v>
                </c:pt>
                <c:pt idx="193">
                  <c:v>-96.911994775133081</c:v>
                </c:pt>
                <c:pt idx="194">
                  <c:v>-96.967325793394807</c:v>
                </c:pt>
                <c:pt idx="195">
                  <c:v>-97.016472366716101</c:v>
                </c:pt>
                <c:pt idx="196">
                  <c:v>-97.063240581356908</c:v>
                </c:pt>
                <c:pt idx="197">
                  <c:v>-97.076754166849284</c:v>
                </c:pt>
                <c:pt idx="198">
                  <c:v>-97.176121244639802</c:v>
                </c:pt>
                <c:pt idx="199">
                  <c:v>-96.970240974852615</c:v>
                </c:pt>
                <c:pt idx="200">
                  <c:v>-97.089113347459005</c:v>
                </c:pt>
                <c:pt idx="201">
                  <c:v>-97.100108884072597</c:v>
                </c:pt>
                <c:pt idx="202">
                  <c:v>-97.178472420703812</c:v>
                </c:pt>
                <c:pt idx="203">
                  <c:v>-97.273957364562207</c:v>
                </c:pt>
                <c:pt idx="204">
                  <c:v>-97.304417694873209</c:v>
                </c:pt>
                <c:pt idx="205">
                  <c:v>-97.267631610866104</c:v>
                </c:pt>
                <c:pt idx="206">
                  <c:v>-97.228523617942102</c:v>
                </c:pt>
                <c:pt idx="207">
                  <c:v>-97.292566523491871</c:v>
                </c:pt>
                <c:pt idx="208">
                  <c:v>-97.230530944872399</c:v>
                </c:pt>
                <c:pt idx="209">
                  <c:v>-97.340189555434605</c:v>
                </c:pt>
                <c:pt idx="210">
                  <c:v>-97.324535985620997</c:v>
                </c:pt>
                <c:pt idx="211">
                  <c:v>-97.414403128581199</c:v>
                </c:pt>
                <c:pt idx="212">
                  <c:v>-97.3508621192357</c:v>
                </c:pt>
                <c:pt idx="213">
                  <c:v>-97.292850573977603</c:v>
                </c:pt>
                <c:pt idx="214">
                  <c:v>-97.346378671944294</c:v>
                </c:pt>
                <c:pt idx="215">
                  <c:v>-97.347727014027598</c:v>
                </c:pt>
                <c:pt idx="216">
                  <c:v>-97.339052210596407</c:v>
                </c:pt>
                <c:pt idx="217">
                  <c:v>-97.397379464641404</c:v>
                </c:pt>
                <c:pt idx="218">
                  <c:v>-97.491408404074605</c:v>
                </c:pt>
                <c:pt idx="219">
                  <c:v>-97.512563349554483</c:v>
                </c:pt>
                <c:pt idx="220">
                  <c:v>-97.589425371424483</c:v>
                </c:pt>
                <c:pt idx="221">
                  <c:v>-97.545797881934007</c:v>
                </c:pt>
                <c:pt idx="222">
                  <c:v>-97.542888409706478</c:v>
                </c:pt>
                <c:pt idx="223">
                  <c:v>-97.469593099785598</c:v>
                </c:pt>
                <c:pt idx="224">
                  <c:v>-97.569339166707195</c:v>
                </c:pt>
                <c:pt idx="225">
                  <c:v>-97.504106811383195</c:v>
                </c:pt>
                <c:pt idx="226">
                  <c:v>-97.605622252870802</c:v>
                </c:pt>
                <c:pt idx="227">
                  <c:v>-97.558896665215201</c:v>
                </c:pt>
                <c:pt idx="228">
                  <c:v>-97.613257876165406</c:v>
                </c:pt>
                <c:pt idx="229">
                  <c:v>-97.577679022596101</c:v>
                </c:pt>
                <c:pt idx="230">
                  <c:v>-97.591806978442094</c:v>
                </c:pt>
                <c:pt idx="231">
                  <c:v>-97.603601570081906</c:v>
                </c:pt>
                <c:pt idx="232">
                  <c:v>-97.678396516782698</c:v>
                </c:pt>
                <c:pt idx="233">
                  <c:v>-97.564272335253406</c:v>
                </c:pt>
                <c:pt idx="234">
                  <c:v>-97.661087383701201</c:v>
                </c:pt>
                <c:pt idx="235">
                  <c:v>-97.648260739476669</c:v>
                </c:pt>
                <c:pt idx="236">
                  <c:v>-97.771938057171482</c:v>
                </c:pt>
                <c:pt idx="237">
                  <c:v>-97.732792760844191</c:v>
                </c:pt>
                <c:pt idx="238">
                  <c:v>-97.729212990575206</c:v>
                </c:pt>
                <c:pt idx="239">
                  <c:v>-97.662063464551807</c:v>
                </c:pt>
                <c:pt idx="240">
                  <c:v>-97.781214336045593</c:v>
                </c:pt>
                <c:pt idx="241">
                  <c:v>-97.673065524527388</c:v>
                </c:pt>
                <c:pt idx="242">
                  <c:v>-97.616051565432173</c:v>
                </c:pt>
                <c:pt idx="243">
                  <c:v>-97.742056528224992</c:v>
                </c:pt>
                <c:pt idx="244">
                  <c:v>-97.667625197644611</c:v>
                </c:pt>
                <c:pt idx="245">
                  <c:v>-97.677346101085419</c:v>
                </c:pt>
                <c:pt idx="246">
                  <c:v>-97.76657506355582</c:v>
                </c:pt>
                <c:pt idx="247">
                  <c:v>-97.792159817232303</c:v>
                </c:pt>
                <c:pt idx="248">
                  <c:v>-97.703708558451012</c:v>
                </c:pt>
                <c:pt idx="249">
                  <c:v>-97.837756661132488</c:v>
                </c:pt>
                <c:pt idx="250">
                  <c:v>-97.772590464425903</c:v>
                </c:pt>
                <c:pt idx="251">
                  <c:v>-97.811143476165995</c:v>
                </c:pt>
                <c:pt idx="252">
                  <c:v>-97.801795474990399</c:v>
                </c:pt>
                <c:pt idx="253">
                  <c:v>-97.792916508823609</c:v>
                </c:pt>
                <c:pt idx="254">
                  <c:v>-97.749314711121599</c:v>
                </c:pt>
                <c:pt idx="255">
                  <c:v>-97.722586742038402</c:v>
                </c:pt>
                <c:pt idx="256">
                  <c:v>-97.780321975964796</c:v>
                </c:pt>
                <c:pt idx="257">
                  <c:v>-97.781373778347373</c:v>
                </c:pt>
                <c:pt idx="258">
                  <c:v>-97.821181980296984</c:v>
                </c:pt>
                <c:pt idx="259">
                  <c:v>-97.782672592155905</c:v>
                </c:pt>
                <c:pt idx="260">
                  <c:v>-97.811536835581293</c:v>
                </c:pt>
                <c:pt idx="261">
                  <c:v>-97.772843551003206</c:v>
                </c:pt>
                <c:pt idx="262">
                  <c:v>-97.792071265656304</c:v>
                </c:pt>
                <c:pt idx="263">
                  <c:v>-97.791709594197101</c:v>
                </c:pt>
                <c:pt idx="264">
                  <c:v>-97.909141179101411</c:v>
                </c:pt>
                <c:pt idx="265">
                  <c:v>-97.7855289321773</c:v>
                </c:pt>
                <c:pt idx="266">
                  <c:v>-97.770389970616804</c:v>
                </c:pt>
                <c:pt idx="267">
                  <c:v>-97.852437513154001</c:v>
                </c:pt>
                <c:pt idx="268">
                  <c:v>-97.785233037638591</c:v>
                </c:pt>
                <c:pt idx="269">
                  <c:v>-97.799553566964903</c:v>
                </c:pt>
                <c:pt idx="270">
                  <c:v>-97.893695529914595</c:v>
                </c:pt>
                <c:pt idx="271">
                  <c:v>-97.805055189085408</c:v>
                </c:pt>
                <c:pt idx="272">
                  <c:v>-97.868412418837607</c:v>
                </c:pt>
                <c:pt idx="273">
                  <c:v>-97.820129199512877</c:v>
                </c:pt>
                <c:pt idx="274">
                  <c:v>-97.70022893802161</c:v>
                </c:pt>
                <c:pt idx="275">
                  <c:v>-97.898372571478291</c:v>
                </c:pt>
                <c:pt idx="276">
                  <c:v>-97.834783989705798</c:v>
                </c:pt>
                <c:pt idx="277">
                  <c:v>-97.850640576157588</c:v>
                </c:pt>
                <c:pt idx="278">
                  <c:v>-97.82532342655567</c:v>
                </c:pt>
                <c:pt idx="279">
                  <c:v>-97.881812396408989</c:v>
                </c:pt>
                <c:pt idx="280">
                  <c:v>-97.825671728834251</c:v>
                </c:pt>
                <c:pt idx="281">
                  <c:v>-97.869289965310202</c:v>
                </c:pt>
                <c:pt idx="282">
                  <c:v>-97.84457961431481</c:v>
                </c:pt>
                <c:pt idx="283">
                  <c:v>-97.9244726923732</c:v>
                </c:pt>
                <c:pt idx="284">
                  <c:v>-97.861953846015609</c:v>
                </c:pt>
                <c:pt idx="285">
                  <c:v>-97.862847251022586</c:v>
                </c:pt>
                <c:pt idx="286">
                  <c:v>-97.918321271128093</c:v>
                </c:pt>
                <c:pt idx="287">
                  <c:v>-97.883998699191011</c:v>
                </c:pt>
                <c:pt idx="288">
                  <c:v>-97.832972261087903</c:v>
                </c:pt>
                <c:pt idx="289">
                  <c:v>-97.788794421553604</c:v>
                </c:pt>
                <c:pt idx="290">
                  <c:v>-97.845343933736089</c:v>
                </c:pt>
                <c:pt idx="291">
                  <c:v>-97.918285935095028</c:v>
                </c:pt>
                <c:pt idx="292">
                  <c:v>-97.873750866836488</c:v>
                </c:pt>
                <c:pt idx="293">
                  <c:v>-97.749816465323505</c:v>
                </c:pt>
                <c:pt idx="294">
                  <c:v>-97.9777537288345</c:v>
                </c:pt>
                <c:pt idx="295">
                  <c:v>-97.907519952177424</c:v>
                </c:pt>
                <c:pt idx="296">
                  <c:v>-97.951131810294214</c:v>
                </c:pt>
                <c:pt idx="297">
                  <c:v>-97.901924541454477</c:v>
                </c:pt>
                <c:pt idx="298">
                  <c:v>-97.985606617896195</c:v>
                </c:pt>
                <c:pt idx="299">
                  <c:v>-97.923379168159997</c:v>
                </c:pt>
                <c:pt idx="300">
                  <c:v>-97.797772957242003</c:v>
                </c:pt>
                <c:pt idx="301">
                  <c:v>-97.891817423219052</c:v>
                </c:pt>
                <c:pt idx="302">
                  <c:v>-97.954443517298003</c:v>
                </c:pt>
                <c:pt idx="303">
                  <c:v>-97.910488703543024</c:v>
                </c:pt>
                <c:pt idx="304">
                  <c:v>-97.954626866565789</c:v>
                </c:pt>
                <c:pt idx="305">
                  <c:v>-97.900902317793694</c:v>
                </c:pt>
                <c:pt idx="306">
                  <c:v>-97.917771395591373</c:v>
                </c:pt>
                <c:pt idx="307">
                  <c:v>-97.842279722954501</c:v>
                </c:pt>
                <c:pt idx="308">
                  <c:v>-97.887957208325773</c:v>
                </c:pt>
                <c:pt idx="309">
                  <c:v>-98.045831031191597</c:v>
                </c:pt>
                <c:pt idx="310">
                  <c:v>-97.946917541803501</c:v>
                </c:pt>
                <c:pt idx="311">
                  <c:v>-97.949458248448195</c:v>
                </c:pt>
                <c:pt idx="312">
                  <c:v>-97.956714338810599</c:v>
                </c:pt>
                <c:pt idx="313">
                  <c:v>-97.814459298225515</c:v>
                </c:pt>
                <c:pt idx="314">
                  <c:v>-97.885516969029894</c:v>
                </c:pt>
                <c:pt idx="315">
                  <c:v>-97.951976543432394</c:v>
                </c:pt>
                <c:pt idx="316">
                  <c:v>-98.017211462718208</c:v>
                </c:pt>
                <c:pt idx="317">
                  <c:v>-97.964436585938302</c:v>
                </c:pt>
                <c:pt idx="318">
                  <c:v>-97.789959200576078</c:v>
                </c:pt>
                <c:pt idx="319">
                  <c:v>-97.84530911948687</c:v>
                </c:pt>
                <c:pt idx="320">
                  <c:v>-97.89960669598041</c:v>
                </c:pt>
                <c:pt idx="321">
                  <c:v>-97.855579854749465</c:v>
                </c:pt>
                <c:pt idx="322">
                  <c:v>-97.874800192143383</c:v>
                </c:pt>
                <c:pt idx="323">
                  <c:v>-97.912174575621094</c:v>
                </c:pt>
                <c:pt idx="324">
                  <c:v>-97.881611519509605</c:v>
                </c:pt>
                <c:pt idx="325">
                  <c:v>-98.058052592054807</c:v>
                </c:pt>
                <c:pt idx="326">
                  <c:v>-98.015645033409683</c:v>
                </c:pt>
                <c:pt idx="327">
                  <c:v>-97.836726473624395</c:v>
                </c:pt>
                <c:pt idx="328">
                  <c:v>-98.028557518051002</c:v>
                </c:pt>
                <c:pt idx="329">
                  <c:v>-98.108085094728608</c:v>
                </c:pt>
                <c:pt idx="330">
                  <c:v>-98.000085484955079</c:v>
                </c:pt>
                <c:pt idx="331">
                  <c:v>-97.907172869626208</c:v>
                </c:pt>
                <c:pt idx="332">
                  <c:v>-97.9623253409423</c:v>
                </c:pt>
                <c:pt idx="333">
                  <c:v>-97.965784333883903</c:v>
                </c:pt>
                <c:pt idx="334">
                  <c:v>-97.972109111666683</c:v>
                </c:pt>
                <c:pt idx="335">
                  <c:v>-97.901412822687206</c:v>
                </c:pt>
                <c:pt idx="336">
                  <c:v>-97.801552945308003</c:v>
                </c:pt>
                <c:pt idx="337">
                  <c:v>-98.023241133720504</c:v>
                </c:pt>
                <c:pt idx="338">
                  <c:v>-97.954267394660988</c:v>
                </c:pt>
                <c:pt idx="339">
                  <c:v>-98.002214587146483</c:v>
                </c:pt>
                <c:pt idx="340">
                  <c:v>-97.959721001733612</c:v>
                </c:pt>
                <c:pt idx="341">
                  <c:v>-97.962446421443303</c:v>
                </c:pt>
                <c:pt idx="342">
                  <c:v>-97.896332845296001</c:v>
                </c:pt>
                <c:pt idx="343">
                  <c:v>-97.97190462316081</c:v>
                </c:pt>
                <c:pt idx="344">
                  <c:v>-97.996910481872078</c:v>
                </c:pt>
                <c:pt idx="345">
                  <c:v>-97.940022347414882</c:v>
                </c:pt>
                <c:pt idx="346">
                  <c:v>-97.8995904969929</c:v>
                </c:pt>
                <c:pt idx="347">
                  <c:v>-97.901403636250706</c:v>
                </c:pt>
                <c:pt idx="348">
                  <c:v>-97.874193119434253</c:v>
                </c:pt>
                <c:pt idx="349">
                  <c:v>-97.890732597494406</c:v>
                </c:pt>
                <c:pt idx="350">
                  <c:v>-97.918592782070078</c:v>
                </c:pt>
                <c:pt idx="351">
                  <c:v>-97.889098205767809</c:v>
                </c:pt>
                <c:pt idx="352">
                  <c:v>-97.918235034244489</c:v>
                </c:pt>
                <c:pt idx="353">
                  <c:v>-97.798416025096088</c:v>
                </c:pt>
                <c:pt idx="354">
                  <c:v>-97.901218644848882</c:v>
                </c:pt>
                <c:pt idx="355">
                  <c:v>-97.896946989258211</c:v>
                </c:pt>
                <c:pt idx="356">
                  <c:v>-97.915065645311103</c:v>
                </c:pt>
                <c:pt idx="357">
                  <c:v>-97.866802738041599</c:v>
                </c:pt>
                <c:pt idx="358">
                  <c:v>-97.927957429920397</c:v>
                </c:pt>
                <c:pt idx="359">
                  <c:v>-98.006779408897287</c:v>
                </c:pt>
                <c:pt idx="360">
                  <c:v>-98.001211617029881</c:v>
                </c:pt>
                <c:pt idx="361">
                  <c:v>-97.932588769838802</c:v>
                </c:pt>
                <c:pt idx="362">
                  <c:v>-98.027610650555388</c:v>
                </c:pt>
                <c:pt idx="363">
                  <c:v>-98.046275351244191</c:v>
                </c:pt>
                <c:pt idx="364">
                  <c:v>-97.967679300301882</c:v>
                </c:pt>
                <c:pt idx="365">
                  <c:v>-97.961677425015694</c:v>
                </c:pt>
                <c:pt idx="366">
                  <c:v>-97.932412726956628</c:v>
                </c:pt>
                <c:pt idx="367">
                  <c:v>-97.836963339073208</c:v>
                </c:pt>
                <c:pt idx="368">
                  <c:v>-97.987519118156101</c:v>
                </c:pt>
                <c:pt idx="369">
                  <c:v>-98.150323522320093</c:v>
                </c:pt>
                <c:pt idx="370">
                  <c:v>-97.910266630239803</c:v>
                </c:pt>
                <c:pt idx="371">
                  <c:v>-97.834177575612301</c:v>
                </c:pt>
                <c:pt idx="372">
                  <c:v>-97.928344902711373</c:v>
                </c:pt>
                <c:pt idx="373">
                  <c:v>-97.999494152145999</c:v>
                </c:pt>
                <c:pt idx="374">
                  <c:v>-97.910199151504401</c:v>
                </c:pt>
                <c:pt idx="375">
                  <c:v>-97.996474099972886</c:v>
                </c:pt>
                <c:pt idx="376">
                  <c:v>-97.977171828928789</c:v>
                </c:pt>
                <c:pt idx="377">
                  <c:v>-97.890636737755798</c:v>
                </c:pt>
                <c:pt idx="378">
                  <c:v>-97.924973758974701</c:v>
                </c:pt>
                <c:pt idx="379">
                  <c:v>-98.01712388394499</c:v>
                </c:pt>
                <c:pt idx="380">
                  <c:v>-97.906482007523394</c:v>
                </c:pt>
                <c:pt idx="381">
                  <c:v>-97.966505786411005</c:v>
                </c:pt>
                <c:pt idx="382">
                  <c:v>-97.877024185334704</c:v>
                </c:pt>
                <c:pt idx="383">
                  <c:v>-98.089772976960802</c:v>
                </c:pt>
                <c:pt idx="384">
                  <c:v>-97.933882952737093</c:v>
                </c:pt>
                <c:pt idx="385">
                  <c:v>-97.866765004262902</c:v>
                </c:pt>
                <c:pt idx="386">
                  <c:v>-98.007696374603668</c:v>
                </c:pt>
                <c:pt idx="387">
                  <c:v>-97.975085453382704</c:v>
                </c:pt>
                <c:pt idx="388">
                  <c:v>-98.042892967164477</c:v>
                </c:pt>
                <c:pt idx="389">
                  <c:v>-97.934754794813699</c:v>
                </c:pt>
                <c:pt idx="390">
                  <c:v>-97.988108767676295</c:v>
                </c:pt>
                <c:pt idx="391">
                  <c:v>-98.003067016807393</c:v>
                </c:pt>
                <c:pt idx="392">
                  <c:v>-97.945235944347885</c:v>
                </c:pt>
                <c:pt idx="393">
                  <c:v>-97.949124449024083</c:v>
                </c:pt>
                <c:pt idx="394">
                  <c:v>-97.944397665239805</c:v>
                </c:pt>
                <c:pt idx="395">
                  <c:v>-98.037626638645406</c:v>
                </c:pt>
                <c:pt idx="396">
                  <c:v>-97.984574086145102</c:v>
                </c:pt>
                <c:pt idx="397">
                  <c:v>-98.032902603238483</c:v>
                </c:pt>
                <c:pt idx="398">
                  <c:v>-98.066022844308407</c:v>
                </c:pt>
                <c:pt idx="399">
                  <c:v>-98.049457517146806</c:v>
                </c:pt>
                <c:pt idx="400">
                  <c:v>-98.012084708619852</c:v>
                </c:pt>
                <c:pt idx="401">
                  <c:v>-98.145598956374414</c:v>
                </c:pt>
                <c:pt idx="402">
                  <c:v>-98.058153171283593</c:v>
                </c:pt>
                <c:pt idx="403">
                  <c:v>-98.049609911732077</c:v>
                </c:pt>
                <c:pt idx="404">
                  <c:v>-97.902748883594398</c:v>
                </c:pt>
                <c:pt idx="405">
                  <c:v>-98.038187187017598</c:v>
                </c:pt>
                <c:pt idx="406">
                  <c:v>-97.960338212240998</c:v>
                </c:pt>
                <c:pt idx="407">
                  <c:v>-97.974068321228103</c:v>
                </c:pt>
                <c:pt idx="408">
                  <c:v>-97.9829555196374</c:v>
                </c:pt>
                <c:pt idx="409">
                  <c:v>-98.022479549705082</c:v>
                </c:pt>
                <c:pt idx="410">
                  <c:v>-98.024461432223902</c:v>
                </c:pt>
                <c:pt idx="411">
                  <c:v>-97.983139517531015</c:v>
                </c:pt>
                <c:pt idx="412">
                  <c:v>-98.008003619651703</c:v>
                </c:pt>
                <c:pt idx="413">
                  <c:v>-97.99546795619969</c:v>
                </c:pt>
                <c:pt idx="414">
                  <c:v>-98.056754946019069</c:v>
                </c:pt>
                <c:pt idx="415">
                  <c:v>-97.922587864188003</c:v>
                </c:pt>
                <c:pt idx="416">
                  <c:v>-97.930519490471596</c:v>
                </c:pt>
                <c:pt idx="417">
                  <c:v>-97.974851118309104</c:v>
                </c:pt>
                <c:pt idx="418">
                  <c:v>-97.959628351274304</c:v>
                </c:pt>
                <c:pt idx="419">
                  <c:v>-97.972483191838876</c:v>
                </c:pt>
                <c:pt idx="420">
                  <c:v>-97.953072278742084</c:v>
                </c:pt>
                <c:pt idx="421">
                  <c:v>-98.040736175771201</c:v>
                </c:pt>
                <c:pt idx="422">
                  <c:v>-97.928500462570227</c:v>
                </c:pt>
                <c:pt idx="423">
                  <c:v>-97.838003848267007</c:v>
                </c:pt>
                <c:pt idx="424">
                  <c:v>-97.993997069200503</c:v>
                </c:pt>
                <c:pt idx="425">
                  <c:v>-98.0509889114077</c:v>
                </c:pt>
                <c:pt idx="426">
                  <c:v>-98.046089586215686</c:v>
                </c:pt>
                <c:pt idx="427">
                  <c:v>-97.892992674973428</c:v>
                </c:pt>
                <c:pt idx="428">
                  <c:v>-97.972211225552002</c:v>
                </c:pt>
                <c:pt idx="429">
                  <c:v>-97.957202008349881</c:v>
                </c:pt>
                <c:pt idx="430">
                  <c:v>-97.96844149175719</c:v>
                </c:pt>
                <c:pt idx="431">
                  <c:v>-98.026942712777469</c:v>
                </c:pt>
                <c:pt idx="432">
                  <c:v>-98.095654162156293</c:v>
                </c:pt>
                <c:pt idx="433">
                  <c:v>-97.947957218324078</c:v>
                </c:pt>
                <c:pt idx="434">
                  <c:v>-97.890125911828605</c:v>
                </c:pt>
                <c:pt idx="435">
                  <c:v>-97.991663011619195</c:v>
                </c:pt>
                <c:pt idx="436">
                  <c:v>-97.93317762537167</c:v>
                </c:pt>
                <c:pt idx="437">
                  <c:v>-97.975336016196607</c:v>
                </c:pt>
                <c:pt idx="438">
                  <c:v>-97.997307152765885</c:v>
                </c:pt>
                <c:pt idx="439">
                  <c:v>-98.0778048090759</c:v>
                </c:pt>
                <c:pt idx="440">
                  <c:v>-98.066465595856101</c:v>
                </c:pt>
                <c:pt idx="441">
                  <c:v>-98.000016113755066</c:v>
                </c:pt>
                <c:pt idx="442">
                  <c:v>-98.052814260144302</c:v>
                </c:pt>
                <c:pt idx="443">
                  <c:v>-97.943432771633198</c:v>
                </c:pt>
                <c:pt idx="444">
                  <c:v>-97.99685041332441</c:v>
                </c:pt>
                <c:pt idx="445">
                  <c:v>-97.975105876161507</c:v>
                </c:pt>
                <c:pt idx="446">
                  <c:v>-97.897159819563115</c:v>
                </c:pt>
                <c:pt idx="447">
                  <c:v>-97.921788949106201</c:v>
                </c:pt>
                <c:pt idx="448">
                  <c:v>-97.858205384454791</c:v>
                </c:pt>
                <c:pt idx="449">
                  <c:v>-97.877403487282209</c:v>
                </c:pt>
                <c:pt idx="450">
                  <c:v>-97.944512240967811</c:v>
                </c:pt>
                <c:pt idx="451">
                  <c:v>-98.076951229896196</c:v>
                </c:pt>
                <c:pt idx="452">
                  <c:v>-98.073151563315804</c:v>
                </c:pt>
                <c:pt idx="453">
                  <c:v>-98.011014698492801</c:v>
                </c:pt>
                <c:pt idx="454">
                  <c:v>-98.078281511816812</c:v>
                </c:pt>
                <c:pt idx="455">
                  <c:v>-97.91242133075778</c:v>
                </c:pt>
                <c:pt idx="456">
                  <c:v>-97.956964549825102</c:v>
                </c:pt>
                <c:pt idx="457">
                  <c:v>-98.006500517422211</c:v>
                </c:pt>
                <c:pt idx="458">
                  <c:v>-97.99480803065218</c:v>
                </c:pt>
                <c:pt idx="459">
                  <c:v>-98.021084277119002</c:v>
                </c:pt>
                <c:pt idx="460">
                  <c:v>-97.878271711836902</c:v>
                </c:pt>
                <c:pt idx="461">
                  <c:v>-98.041170923104303</c:v>
                </c:pt>
                <c:pt idx="462">
                  <c:v>-98.017823609504191</c:v>
                </c:pt>
                <c:pt idx="463">
                  <c:v>-97.911972904849279</c:v>
                </c:pt>
                <c:pt idx="464">
                  <c:v>-98.041956438018403</c:v>
                </c:pt>
                <c:pt idx="465">
                  <c:v>-98.022169387025286</c:v>
                </c:pt>
                <c:pt idx="466">
                  <c:v>-97.739537136567051</c:v>
                </c:pt>
                <c:pt idx="467">
                  <c:v>-97.792309752888301</c:v>
                </c:pt>
                <c:pt idx="468">
                  <c:v>-97.882514649131011</c:v>
                </c:pt>
                <c:pt idx="469">
                  <c:v>-98.024451945357598</c:v>
                </c:pt>
                <c:pt idx="470">
                  <c:v>-98.030267977955504</c:v>
                </c:pt>
                <c:pt idx="471">
                  <c:v>-97.985037590100404</c:v>
                </c:pt>
                <c:pt idx="472">
                  <c:v>-97.888382298422215</c:v>
                </c:pt>
                <c:pt idx="473">
                  <c:v>-98.047608739576901</c:v>
                </c:pt>
                <c:pt idx="474">
                  <c:v>-97.993921599951392</c:v>
                </c:pt>
                <c:pt idx="475">
                  <c:v>-97.891466347062206</c:v>
                </c:pt>
                <c:pt idx="476">
                  <c:v>-97.936353937770306</c:v>
                </c:pt>
                <c:pt idx="477">
                  <c:v>-98.042344084256882</c:v>
                </c:pt>
                <c:pt idx="478">
                  <c:v>-98.076973454478207</c:v>
                </c:pt>
                <c:pt idx="479">
                  <c:v>-97.954735509561914</c:v>
                </c:pt>
                <c:pt idx="480">
                  <c:v>-97.894679498672502</c:v>
                </c:pt>
                <c:pt idx="481">
                  <c:v>-98.001162930966572</c:v>
                </c:pt>
                <c:pt idx="482">
                  <c:v>-97.977612537118588</c:v>
                </c:pt>
                <c:pt idx="483">
                  <c:v>-98.018069434329604</c:v>
                </c:pt>
                <c:pt idx="484">
                  <c:v>-98.0031710126825</c:v>
                </c:pt>
                <c:pt idx="485">
                  <c:v>-97.881826808218477</c:v>
                </c:pt>
                <c:pt idx="486">
                  <c:v>-98.076221770370253</c:v>
                </c:pt>
                <c:pt idx="487">
                  <c:v>-98.016106420427107</c:v>
                </c:pt>
                <c:pt idx="488">
                  <c:v>-97.833176331853906</c:v>
                </c:pt>
                <c:pt idx="489">
                  <c:v>-98.062568942248603</c:v>
                </c:pt>
                <c:pt idx="490">
                  <c:v>-97.89951247987689</c:v>
                </c:pt>
                <c:pt idx="491">
                  <c:v>-97.9849639359158</c:v>
                </c:pt>
                <c:pt idx="492">
                  <c:v>-98.021355949803677</c:v>
                </c:pt>
                <c:pt idx="493">
                  <c:v>-98.015745448532627</c:v>
                </c:pt>
                <c:pt idx="494">
                  <c:v>-97.976442867497596</c:v>
                </c:pt>
                <c:pt idx="495">
                  <c:v>-97.990391399972282</c:v>
                </c:pt>
                <c:pt idx="496">
                  <c:v>-98.013528812273407</c:v>
                </c:pt>
                <c:pt idx="497">
                  <c:v>-97.890241656347285</c:v>
                </c:pt>
                <c:pt idx="498">
                  <c:v>-97.844548695214101</c:v>
                </c:pt>
                <c:pt idx="499">
                  <c:v>-98.0425607763909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685A-49FD-86B5-A5597FD18D6F}"/>
            </c:ext>
          </c:extLst>
        </c:ser>
        <c:ser>
          <c:idx val="1"/>
          <c:order val="1"/>
          <c:tx>
            <c:v>CH2 (IN)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'THD+N Sweep'!$I$5:$I$504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19725.043589738092</c:v>
                </c:pt>
                <c:pt idx="2">
                  <c:v>19453.8672308528</c:v>
                </c:pt>
                <c:pt idx="3">
                  <c:v>19186.418955876998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18405.933617521292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17175.038969690795</c:v>
                </c:pt>
                <c:pt idx="12">
                  <c:v>16938.919616629595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16249.860421228499</c:v>
                </c:pt>
                <c:pt idx="16">
                  <c:v>16026.460256794202</c:v>
                </c:pt>
                <c:pt idx="17">
                  <c:v>15806.131357723101</c:v>
                </c:pt>
                <c:pt idx="18">
                  <c:v>15588.8315008103</c:v>
                </c:pt>
                <c:pt idx="19">
                  <c:v>15374.519043327802</c:v>
                </c:pt>
                <c:pt idx="20">
                  <c:v>15163.152915044602</c:v>
                </c:pt>
                <c:pt idx="21">
                  <c:v>14954.692610355502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13762.753972831699</c:v>
                </c:pt>
                <c:pt idx="28">
                  <c:v>13573.546101446898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12491.689424879502</c:v>
                </c:pt>
                <c:pt idx="35">
                  <c:v>12319.955920760602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11338.014542415101</c:v>
                </c:pt>
                <c:pt idx="42">
                  <c:v>11182.141553510801</c:v>
                </c:pt>
                <c:pt idx="43">
                  <c:v>11028.411478480899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10579.786152196499</c:v>
                </c:pt>
                <c:pt idx="47">
                  <c:v>10434.337151108899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9872.2641964760478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9212.0576884050079</c:v>
                </c:pt>
                <c:pt idx="57">
                  <c:v>9085.4119727482885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8246.3251820596779</c:v>
                </c:pt>
                <c:pt idx="65">
                  <c:v>8132.9561835638897</c:v>
                </c:pt>
                <c:pt idx="66">
                  <c:v>8021.1457617111691</c:v>
                </c:pt>
                <c:pt idx="67">
                  <c:v>7910.8724894695779</c:v>
                </c:pt>
                <c:pt idx="68">
                  <c:v>7802.1152343821595</c:v>
                </c:pt>
                <c:pt idx="69">
                  <c:v>7694.8531545171818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7081.5478179306892</c:v>
                </c:pt>
                <c:pt idx="76">
                  <c:v>6984.1919695746892</c:v>
                </c:pt>
                <c:pt idx="77">
                  <c:v>6888.17455194779</c:v>
                </c:pt>
                <c:pt idx="78">
                  <c:v>6793.4771645445608</c:v>
                </c:pt>
                <c:pt idx="79">
                  <c:v>6700.0816598264091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6166.0629131366795</c:v>
                </c:pt>
                <c:pt idx="86">
                  <c:v>6081.2929869342606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5674.6072330325405</c:v>
                </c:pt>
                <c:pt idx="92">
                  <c:v>5596.593751310349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</c:v>
                </c:pt>
                <c:pt idx="104">
                  <c:v>4740.0125840187502</c:v>
                </c:pt>
                <c:pt idx="105">
                  <c:v>4674.8477417837194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4423.024799451071</c:v>
                </c:pt>
                <c:pt idx="110">
                  <c:v>4362.2178483831294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4184.7669607940406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4014.5346071252197</c:v>
                </c:pt>
                <c:pt idx="117">
                  <c:v>3959.3435059027397</c:v>
                </c:pt>
                <c:pt idx="118">
                  <c:v>3904.9111620337999</c:v>
                </c:pt>
                <c:pt idx="119">
                  <c:v>3851.2271442584711</c:v>
                </c:pt>
                <c:pt idx="120">
                  <c:v>3798.28116472394</c:v>
                </c:pt>
                <c:pt idx="121">
                  <c:v>3746.063077012951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3593.6767815355097</c:v>
                </c:pt>
                <c:pt idx="125">
                  <c:v>3544.271558160789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3353.3500690554597</c:v>
                </c:pt>
                <c:pt idx="130">
                  <c:v>3307.2488141884201</c:v>
                </c:pt>
                <c:pt idx="131">
                  <c:v>3261.7813510987289</c:v>
                </c:pt>
                <c:pt idx="132">
                  <c:v>3216.9389665307694</c:v>
                </c:pt>
                <c:pt idx="133">
                  <c:v>3172.7130670172405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3043.6501065288294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2879.6959057520689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2724.5735282833402</c:v>
                </c:pt>
                <c:pt idx="145">
                  <c:v>2687.1165804416996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2507.4159748818897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2405.4166695370695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2213.6969770988603</c:v>
                </c:pt>
                <c:pt idx="160">
                  <c:v>2183.2634683872702</c:v>
                </c:pt>
                <c:pt idx="161">
                  <c:v>2153.2483540910202</c:v>
                </c:pt>
                <c:pt idx="162">
                  <c:v>2123.6458821988094</c:v>
                </c:pt>
                <c:pt idx="163">
                  <c:v>2094.4503797769094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1954.3842567436295</c:v>
                </c:pt>
                <c:pt idx="169">
                  <c:v>1927.51573276825</c:v>
                </c:pt>
                <c:pt idx="170">
                  <c:v>1901.0165924379298</c:v>
                </c:pt>
                <c:pt idx="171">
                  <c:v>1874.8817575326298</c:v>
                </c:pt>
                <c:pt idx="172">
                  <c:v>1849.1062196467501</c:v>
                </c:pt>
                <c:pt idx="173">
                  <c:v>1823.6850392293402</c:v>
                </c:pt>
                <c:pt idx="174">
                  <c:v>1798.61334463755</c:v>
                </c:pt>
                <c:pt idx="175">
                  <c:v>1773.8863312029698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1701.7263165281402</c:v>
                </c:pt>
                <c:pt idx="179">
                  <c:v>1678.3312885660603</c:v>
                </c:pt>
                <c:pt idx="180">
                  <c:v>1655.2578912492997</c:v>
                </c:pt>
                <c:pt idx="181">
                  <c:v>1632.50170285747</c:v>
                </c:pt>
                <c:pt idx="182">
                  <c:v>1610.0583624592198</c:v>
                </c:pt>
                <c:pt idx="183">
                  <c:v>1587.9235690764799</c:v>
                </c:pt>
                <c:pt idx="184">
                  <c:v>1566.0930808602598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1481.7313669879397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1421.4559393547102</c:v>
                </c:pt>
                <c:pt idx="192">
                  <c:v>1401.91401823315</c:v>
                </c:pt>
                <c:pt idx="193">
                  <c:v>1382.6407559356498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1203.8963947654702</c:v>
                </c:pt>
                <c:pt idx="204">
                  <c:v>1187.3454432138401</c:v>
                </c:pt>
                <c:pt idx="205">
                  <c:v>1171.0220311734702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1107.9418562213002</c:v>
                </c:pt>
                <c:pt idx="210">
                  <c:v>1092.7100704429902</c:v>
                </c:pt>
                <c:pt idx="211">
                  <c:v>1077.6876885216602</c:v>
                </c:pt>
                <c:pt idx="212">
                  <c:v>1062.8718316106599</c:v>
                </c:pt>
                <c:pt idx="213">
                  <c:v>1048.2596604412302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1005.6174509885101</c:v>
                </c:pt>
                <c:pt idx="217">
                  <c:v>991.79240276745793</c:v>
                </c:pt>
                <c:pt idx="218">
                  <c:v>978.15741882793282</c:v>
                </c:pt>
                <c:pt idx="219">
                  <c:v>964.70988620030801</c:v>
                </c:pt>
                <c:pt idx="220">
                  <c:v>951.4472278375921</c:v>
                </c:pt>
                <c:pt idx="221">
                  <c:v>938.36690212157282</c:v>
                </c:pt>
                <c:pt idx="222">
                  <c:v>925.46640237575104</c:v>
                </c:pt>
                <c:pt idx="223">
                  <c:v>912.74325638496487</c:v>
                </c:pt>
                <c:pt idx="224">
                  <c:v>900.195025921622</c:v>
                </c:pt>
                <c:pt idx="225">
                  <c:v>887.81930627844611</c:v>
                </c:pt>
                <c:pt idx="226">
                  <c:v>875.61372580764612</c:v>
                </c:pt>
                <c:pt idx="227">
                  <c:v>863.5759454664169</c:v>
                </c:pt>
                <c:pt idx="228">
                  <c:v>851.70365836869473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731.40217615550785</c:v>
                </c:pt>
                <c:pt idx="240">
                  <c:v>721.346990314815</c:v>
                </c:pt>
                <c:pt idx="241">
                  <c:v>711.4300413642859</c:v>
                </c:pt>
                <c:pt idx="242">
                  <c:v>701.64942884796801</c:v>
                </c:pt>
                <c:pt idx="243">
                  <c:v>692.00327843703087</c:v>
                </c:pt>
                <c:pt idx="244">
                  <c:v>682.48974157058683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619.45813346629006</c:v>
                </c:pt>
                <c:pt idx="252">
                  <c:v>610.94193423200204</c:v>
                </c:pt>
                <c:pt idx="253">
                  <c:v>602.54281417624088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510.32121474544306</c:v>
                </c:pt>
                <c:pt idx="266">
                  <c:v>503.30541028108496</c:v>
                </c:pt>
                <c:pt idx="267">
                  <c:v>496.38605783725694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469.64692011086095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438.23933751563493</c:v>
                </c:pt>
                <c:pt idx="277">
                  <c:v>432.21450176168088</c:v>
                </c:pt>
                <c:pt idx="278">
                  <c:v>426.272494368293</c:v>
                </c:pt>
                <c:pt idx="279">
                  <c:v>420.41217662603697</c:v>
                </c:pt>
                <c:pt idx="280">
                  <c:v>414.63242548025102</c:v>
                </c:pt>
                <c:pt idx="281">
                  <c:v>408.93213331582797</c:v>
                </c:pt>
                <c:pt idx="282">
                  <c:v>403.31020774495397</c:v>
                </c:pt>
                <c:pt idx="283">
                  <c:v>397.76557139776702</c:v>
                </c:pt>
                <c:pt idx="284">
                  <c:v>392.29716171589092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376.33888499411512</c:v>
                </c:pt>
                <c:pt idx="288">
                  <c:v>371.16504555110799</c:v>
                </c:pt>
                <c:pt idx="289">
                  <c:v>366.06233512412706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336.88595200846692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323.18175077918693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297.42309256179396</c:v>
                </c:pt>
                <c:pt idx="305">
                  <c:v>293.33417326879692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273.71748490050692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255.41266026173093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213.34678754697296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199.07924619968696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190.98089115036294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173.34277594778598</c:v>
                </c:pt>
                <c:pt idx="344">
                  <c:v>170.95969057680998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161.75049817540997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155.17064121575802</c:v>
                </c:pt>
                <c:pt idx="352">
                  <c:v>153.03738309141798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142.80302608026898</c:v>
                </c:pt>
                <c:pt idx="358">
                  <c:v>140.839795708987</c:v>
                </c:pt>
                <c:pt idx="359">
                  <c:v>138.90355547647502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127.83248106688099</c:v>
                </c:pt>
                <c:pt idx="366">
                  <c:v>126.07506306142599</c:v>
                </c:pt>
                <c:pt idx="367">
                  <c:v>124.34180572327699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103.86299873180499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99.637950384103917</c:v>
                </c:pt>
                <c:pt idx="384">
                  <c:v>98.268145725927866</c:v>
                </c:pt>
                <c:pt idx="385">
                  <c:v>96.917172896330499</c:v>
                </c:pt>
                <c:pt idx="386">
                  <c:v>95.584772998712609</c:v>
                </c:pt>
                <c:pt idx="387">
                  <c:v>94.270690695738807</c:v>
                </c:pt>
                <c:pt idx="388">
                  <c:v>92.974674160405684</c:v>
                </c:pt>
                <c:pt idx="389">
                  <c:v>91.696475027782483</c:v>
                </c:pt>
                <c:pt idx="390">
                  <c:v>90.435848347414591</c:v>
                </c:pt>
                <c:pt idx="391">
                  <c:v>89.192552536382394</c:v>
                </c:pt>
                <c:pt idx="392">
                  <c:v>87.966349333005013</c:v>
                </c:pt>
                <c:pt idx="393">
                  <c:v>86.757003751180306</c:v>
                </c:pt>
                <c:pt idx="394">
                  <c:v>85.564284035352813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82.083610058094592</c:v>
                </c:pt>
                <c:pt idx="398">
                  <c:v>80.955139319946895</c:v>
                </c:pt>
                <c:pt idx="399">
                  <c:v>79.842182594961514</c:v>
                </c:pt>
                <c:pt idx="400">
                  <c:v>78.744526599270088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75.541273890787821</c:v>
                </c:pt>
                <c:pt idx="404">
                  <c:v>74.502746016004593</c:v>
                </c:pt>
                <c:pt idx="405">
                  <c:v>73.478495636041885</c:v>
                </c:pt>
                <c:pt idx="406">
                  <c:v>72.468326466463381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69.520383630839916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62.232316556487504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58.070537699556496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51.982798367658894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47.181906610172895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45.262591367990709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43.421352050745405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41.082346967061405</c:v>
                </c:pt>
                <c:pt idx="448">
                  <c:v>40.517554234700491</c:v>
                </c:pt>
                <c:pt idx="449">
                  <c:v>39.960526171451107</c:v>
                </c:pt>
                <c:pt idx="450">
                  <c:v>39.411156030036096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37.288170679409795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34.316179712200196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31.581066289483598</c:v>
                </c:pt>
                <c:pt idx="467">
                  <c:v>31.146895458522696</c:v>
                </c:pt>
                <c:pt idx="468">
                  <c:v>30.718693530217998</c:v>
                </c:pt>
                <c:pt idx="469">
                  <c:v>30.296378445167001</c:v>
                </c:pt>
                <c:pt idx="470">
                  <c:v>29.879869272105203</c:v>
                </c:pt>
                <c:pt idx="471">
                  <c:v>29.469086192396691</c:v>
                </c:pt>
                <c:pt idx="472">
                  <c:v>29.063950484738001</c:v>
                </c:pt>
                <c:pt idx="473">
                  <c:v>28.664384510071493</c:v>
                </c:pt>
                <c:pt idx="474">
                  <c:v>28.270311696707896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25.659395957883003</c:v>
                </c:pt>
                <c:pt idx="482">
                  <c:v>25.306635187778905</c:v>
                </c:pt>
                <c:pt idx="483">
                  <c:v>24.958724109426203</c:v>
                </c:pt>
                <c:pt idx="484">
                  <c:v>24.615596050133291</c:v>
                </c:pt>
                <c:pt idx="485">
                  <c:v>24.277185253812601</c:v>
                </c:pt>
                <c:pt idx="486">
                  <c:v>23.943426868379397</c:v>
                </c:pt>
                <c:pt idx="487">
                  <c:v>23.614256933323801</c:v>
                </c:pt>
                <c:pt idx="488">
                  <c:v>23.289612367453692</c:v>
                </c:pt>
                <c:pt idx="489">
                  <c:v>22.969430956805798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22.035056275767698</c:v>
                </c:pt>
                <c:pt idx="493">
                  <c:v>21.732122277092</c:v>
                </c:pt>
                <c:pt idx="494">
                  <c:v>21.433352960657292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20.561464476617292</c:v>
                </c:pt>
                <c:pt idx="498">
                  <c:v>20.278789153505798</c:v>
                </c:pt>
                <c:pt idx="499">
                  <c:v>20</c:v>
                </c:pt>
              </c:numCache>
            </c:numRef>
          </c:xVal>
          <c:yVal>
            <c:numRef>
              <c:f>'THD+N Sweep'!$J$5:$J$504</c:f>
              <c:numCache>
                <c:formatCode>General</c:formatCode>
                <c:ptCount val="500"/>
                <c:pt idx="0">
                  <c:v>-97.725887344285894</c:v>
                </c:pt>
                <c:pt idx="1">
                  <c:v>-97.788501659900604</c:v>
                </c:pt>
                <c:pt idx="2">
                  <c:v>-97.873512271018498</c:v>
                </c:pt>
                <c:pt idx="3">
                  <c:v>-97.729463674785293</c:v>
                </c:pt>
                <c:pt idx="4">
                  <c:v>-97.811662714640789</c:v>
                </c:pt>
                <c:pt idx="5">
                  <c:v>-97.780608382408403</c:v>
                </c:pt>
                <c:pt idx="6">
                  <c:v>-97.792163315676802</c:v>
                </c:pt>
                <c:pt idx="7">
                  <c:v>-97.863226011885999</c:v>
                </c:pt>
                <c:pt idx="8">
                  <c:v>-97.796620732557599</c:v>
                </c:pt>
                <c:pt idx="9">
                  <c:v>-97.813256556183504</c:v>
                </c:pt>
                <c:pt idx="10">
                  <c:v>-97.721896797902204</c:v>
                </c:pt>
                <c:pt idx="11">
                  <c:v>-97.839537066797419</c:v>
                </c:pt>
                <c:pt idx="12">
                  <c:v>-97.831787146493085</c:v>
                </c:pt>
                <c:pt idx="13">
                  <c:v>-97.813024809317611</c:v>
                </c:pt>
                <c:pt idx="14">
                  <c:v>-97.910274617507298</c:v>
                </c:pt>
                <c:pt idx="15">
                  <c:v>-97.821066559302892</c:v>
                </c:pt>
                <c:pt idx="16">
                  <c:v>-97.769022712686009</c:v>
                </c:pt>
                <c:pt idx="17">
                  <c:v>-97.759924960020612</c:v>
                </c:pt>
                <c:pt idx="18">
                  <c:v>-97.827331887892882</c:v>
                </c:pt>
                <c:pt idx="19">
                  <c:v>-97.820035786275483</c:v>
                </c:pt>
                <c:pt idx="20">
                  <c:v>-97.781114947272627</c:v>
                </c:pt>
                <c:pt idx="21">
                  <c:v>-97.831148878905424</c:v>
                </c:pt>
                <c:pt idx="22">
                  <c:v>-97.845867036059502</c:v>
                </c:pt>
                <c:pt idx="23">
                  <c:v>-97.7886346736517</c:v>
                </c:pt>
                <c:pt idx="24">
                  <c:v>-97.834905799370389</c:v>
                </c:pt>
                <c:pt idx="25">
                  <c:v>-97.873767923743102</c:v>
                </c:pt>
                <c:pt idx="26">
                  <c:v>-97.803394359176806</c:v>
                </c:pt>
                <c:pt idx="27">
                  <c:v>-97.870338233033905</c:v>
                </c:pt>
                <c:pt idx="28">
                  <c:v>-97.630616872203504</c:v>
                </c:pt>
                <c:pt idx="29">
                  <c:v>-97.881602464227598</c:v>
                </c:pt>
                <c:pt idx="30">
                  <c:v>-97.846600768582078</c:v>
                </c:pt>
                <c:pt idx="31">
                  <c:v>-97.793696153734572</c:v>
                </c:pt>
                <c:pt idx="32">
                  <c:v>-97.809251799905596</c:v>
                </c:pt>
                <c:pt idx="33">
                  <c:v>-97.801041265999871</c:v>
                </c:pt>
                <c:pt idx="34">
                  <c:v>-97.876932747905798</c:v>
                </c:pt>
                <c:pt idx="35">
                  <c:v>-97.789033112505606</c:v>
                </c:pt>
                <c:pt idx="36">
                  <c:v>-97.949973667219851</c:v>
                </c:pt>
                <c:pt idx="37">
                  <c:v>-97.738037635827283</c:v>
                </c:pt>
                <c:pt idx="38">
                  <c:v>-97.842918388003199</c:v>
                </c:pt>
                <c:pt idx="39">
                  <c:v>-97.859276593151904</c:v>
                </c:pt>
                <c:pt idx="40">
                  <c:v>-97.818188580966407</c:v>
                </c:pt>
                <c:pt idx="41">
                  <c:v>-97.864627383828307</c:v>
                </c:pt>
                <c:pt idx="42">
                  <c:v>-97.798658974434403</c:v>
                </c:pt>
                <c:pt idx="43">
                  <c:v>-97.920344317151901</c:v>
                </c:pt>
                <c:pt idx="44">
                  <c:v>-97.803208429312392</c:v>
                </c:pt>
                <c:pt idx="45">
                  <c:v>-97.860022180210208</c:v>
                </c:pt>
                <c:pt idx="46">
                  <c:v>-97.89174334772089</c:v>
                </c:pt>
                <c:pt idx="47">
                  <c:v>-97.865508604816199</c:v>
                </c:pt>
                <c:pt idx="48">
                  <c:v>-97.809267093523815</c:v>
                </c:pt>
                <c:pt idx="49">
                  <c:v>-97.81587298822248</c:v>
                </c:pt>
                <c:pt idx="50">
                  <c:v>-97.785246521804282</c:v>
                </c:pt>
                <c:pt idx="51">
                  <c:v>-97.782162846360194</c:v>
                </c:pt>
                <c:pt idx="52">
                  <c:v>-97.867303368125107</c:v>
                </c:pt>
                <c:pt idx="53">
                  <c:v>-97.747787490743903</c:v>
                </c:pt>
                <c:pt idx="54">
                  <c:v>-97.844476741393095</c:v>
                </c:pt>
                <c:pt idx="55">
                  <c:v>-97.824327019763601</c:v>
                </c:pt>
                <c:pt idx="56">
                  <c:v>-97.724933053129703</c:v>
                </c:pt>
                <c:pt idx="57">
                  <c:v>-97.984953706431682</c:v>
                </c:pt>
                <c:pt idx="58">
                  <c:v>-97.828326844161595</c:v>
                </c:pt>
                <c:pt idx="59">
                  <c:v>-97.923389444239007</c:v>
                </c:pt>
                <c:pt idx="60">
                  <c:v>-97.712466863668098</c:v>
                </c:pt>
                <c:pt idx="61">
                  <c:v>-97.798822055312101</c:v>
                </c:pt>
                <c:pt idx="62">
                  <c:v>-97.8092567693283</c:v>
                </c:pt>
                <c:pt idx="63">
                  <c:v>-97.789613793414006</c:v>
                </c:pt>
                <c:pt idx="64">
                  <c:v>-97.839125451099591</c:v>
                </c:pt>
                <c:pt idx="65">
                  <c:v>-97.804357624441593</c:v>
                </c:pt>
                <c:pt idx="66">
                  <c:v>-97.836131872260879</c:v>
                </c:pt>
                <c:pt idx="67">
                  <c:v>-97.84403487138259</c:v>
                </c:pt>
                <c:pt idx="68">
                  <c:v>-97.810174207271373</c:v>
                </c:pt>
                <c:pt idx="69">
                  <c:v>-97.768817896540995</c:v>
                </c:pt>
                <c:pt idx="70">
                  <c:v>-97.722192273398804</c:v>
                </c:pt>
                <c:pt idx="71">
                  <c:v>-97.8110514531608</c:v>
                </c:pt>
                <c:pt idx="72">
                  <c:v>-97.716117414566881</c:v>
                </c:pt>
                <c:pt idx="73">
                  <c:v>-97.751855991551011</c:v>
                </c:pt>
                <c:pt idx="74">
                  <c:v>-97.933529745169409</c:v>
                </c:pt>
                <c:pt idx="75">
                  <c:v>-97.907868667996013</c:v>
                </c:pt>
                <c:pt idx="76">
                  <c:v>-97.785898716732703</c:v>
                </c:pt>
                <c:pt idx="77">
                  <c:v>-97.893139985612478</c:v>
                </c:pt>
                <c:pt idx="78">
                  <c:v>-97.950402846864307</c:v>
                </c:pt>
                <c:pt idx="79">
                  <c:v>-97.843507696401772</c:v>
                </c:pt>
                <c:pt idx="80">
                  <c:v>-97.946113656468484</c:v>
                </c:pt>
                <c:pt idx="81">
                  <c:v>-97.731780706432005</c:v>
                </c:pt>
                <c:pt idx="82">
                  <c:v>-97.836062590763902</c:v>
                </c:pt>
                <c:pt idx="83">
                  <c:v>-97.879077082314893</c:v>
                </c:pt>
                <c:pt idx="84">
                  <c:v>-97.733199298711071</c:v>
                </c:pt>
                <c:pt idx="85">
                  <c:v>-97.918409646682889</c:v>
                </c:pt>
                <c:pt idx="86">
                  <c:v>-97.81418436472039</c:v>
                </c:pt>
                <c:pt idx="87">
                  <c:v>-97.758509989555691</c:v>
                </c:pt>
                <c:pt idx="88">
                  <c:v>-97.809150903419052</c:v>
                </c:pt>
                <c:pt idx="89">
                  <c:v>-97.822417452191303</c:v>
                </c:pt>
                <c:pt idx="90">
                  <c:v>-97.863426082059277</c:v>
                </c:pt>
                <c:pt idx="91">
                  <c:v>-97.826141536890887</c:v>
                </c:pt>
                <c:pt idx="92">
                  <c:v>-97.869089905710894</c:v>
                </c:pt>
                <c:pt idx="93">
                  <c:v>-97.781412353104002</c:v>
                </c:pt>
                <c:pt idx="94">
                  <c:v>-97.731781964875807</c:v>
                </c:pt>
                <c:pt idx="95">
                  <c:v>-97.938807767445454</c:v>
                </c:pt>
                <c:pt idx="96">
                  <c:v>-97.871463291135854</c:v>
                </c:pt>
                <c:pt idx="97">
                  <c:v>-97.834668313727391</c:v>
                </c:pt>
                <c:pt idx="98">
                  <c:v>-97.741226804950884</c:v>
                </c:pt>
                <c:pt idx="99">
                  <c:v>-97.84974601094649</c:v>
                </c:pt>
                <c:pt idx="100">
                  <c:v>-97.882694986955883</c:v>
                </c:pt>
                <c:pt idx="101">
                  <c:v>-97.852261159686904</c:v>
                </c:pt>
                <c:pt idx="102">
                  <c:v>-97.799118234871017</c:v>
                </c:pt>
                <c:pt idx="103">
                  <c:v>-97.710550412325901</c:v>
                </c:pt>
                <c:pt idx="104">
                  <c:v>-97.773528437825206</c:v>
                </c:pt>
                <c:pt idx="105">
                  <c:v>-97.943134763021106</c:v>
                </c:pt>
                <c:pt idx="106">
                  <c:v>-97.756898959363397</c:v>
                </c:pt>
                <c:pt idx="107">
                  <c:v>-97.840935839829228</c:v>
                </c:pt>
                <c:pt idx="108">
                  <c:v>-97.847496862674404</c:v>
                </c:pt>
                <c:pt idx="109">
                  <c:v>-97.878509818914878</c:v>
                </c:pt>
                <c:pt idx="110">
                  <c:v>-97.902410854354102</c:v>
                </c:pt>
                <c:pt idx="111">
                  <c:v>-97.831436785572606</c:v>
                </c:pt>
                <c:pt idx="112">
                  <c:v>-97.867012325176304</c:v>
                </c:pt>
                <c:pt idx="113">
                  <c:v>-97.861034263482694</c:v>
                </c:pt>
                <c:pt idx="114">
                  <c:v>-97.739118913153902</c:v>
                </c:pt>
                <c:pt idx="115">
                  <c:v>-97.744011157865998</c:v>
                </c:pt>
                <c:pt idx="116">
                  <c:v>-97.903902708542802</c:v>
                </c:pt>
                <c:pt idx="117">
                  <c:v>-97.773331381784189</c:v>
                </c:pt>
                <c:pt idx="118">
                  <c:v>-97.858612853508973</c:v>
                </c:pt>
                <c:pt idx="119">
                  <c:v>-97.8399258540841</c:v>
                </c:pt>
                <c:pt idx="120">
                  <c:v>-97.765046188575866</c:v>
                </c:pt>
                <c:pt idx="121">
                  <c:v>-97.826213552985209</c:v>
                </c:pt>
                <c:pt idx="122">
                  <c:v>-97.750808386269796</c:v>
                </c:pt>
                <c:pt idx="123">
                  <c:v>-97.74859407011769</c:v>
                </c:pt>
                <c:pt idx="124">
                  <c:v>-97.676022729742996</c:v>
                </c:pt>
                <c:pt idx="125">
                  <c:v>-97.801303568810269</c:v>
                </c:pt>
                <c:pt idx="126">
                  <c:v>-97.827945369657101</c:v>
                </c:pt>
                <c:pt idx="127">
                  <c:v>-97.803905978494797</c:v>
                </c:pt>
                <c:pt idx="128">
                  <c:v>-97.7343740514887</c:v>
                </c:pt>
                <c:pt idx="129">
                  <c:v>-97.819212470180716</c:v>
                </c:pt>
                <c:pt idx="130">
                  <c:v>-97.805433487124205</c:v>
                </c:pt>
                <c:pt idx="131">
                  <c:v>-97.850292536681081</c:v>
                </c:pt>
                <c:pt idx="132">
                  <c:v>-97.74641880643459</c:v>
                </c:pt>
                <c:pt idx="133">
                  <c:v>-97.797662824296992</c:v>
                </c:pt>
                <c:pt idx="134">
                  <c:v>-97.781858465868282</c:v>
                </c:pt>
                <c:pt idx="135">
                  <c:v>-97.786986022735007</c:v>
                </c:pt>
                <c:pt idx="136">
                  <c:v>-97.657658320452882</c:v>
                </c:pt>
                <c:pt idx="137">
                  <c:v>-97.72163857857619</c:v>
                </c:pt>
                <c:pt idx="138">
                  <c:v>-97.707163050890301</c:v>
                </c:pt>
                <c:pt idx="139">
                  <c:v>-97.840379807664974</c:v>
                </c:pt>
                <c:pt idx="140">
                  <c:v>-97.770458541043197</c:v>
                </c:pt>
                <c:pt idx="141">
                  <c:v>-97.801022830115102</c:v>
                </c:pt>
                <c:pt idx="142">
                  <c:v>-97.812218348400791</c:v>
                </c:pt>
                <c:pt idx="143">
                  <c:v>-97.7903311744994</c:v>
                </c:pt>
                <c:pt idx="144">
                  <c:v>-97.761830421355597</c:v>
                </c:pt>
                <c:pt idx="145">
                  <c:v>-97.644577144698886</c:v>
                </c:pt>
                <c:pt idx="146">
                  <c:v>-97.747855147039886</c:v>
                </c:pt>
                <c:pt idx="147">
                  <c:v>-97.739379074339396</c:v>
                </c:pt>
                <c:pt idx="148">
                  <c:v>-97.7572924742379</c:v>
                </c:pt>
                <c:pt idx="149">
                  <c:v>-97.758176130925193</c:v>
                </c:pt>
                <c:pt idx="150">
                  <c:v>-97.723367742261303</c:v>
                </c:pt>
                <c:pt idx="151">
                  <c:v>-97.641919894634881</c:v>
                </c:pt>
                <c:pt idx="152">
                  <c:v>-97.659772397819594</c:v>
                </c:pt>
                <c:pt idx="153">
                  <c:v>-97.769779782311502</c:v>
                </c:pt>
                <c:pt idx="154">
                  <c:v>-97.722155203895397</c:v>
                </c:pt>
                <c:pt idx="155">
                  <c:v>-97.872494311906493</c:v>
                </c:pt>
                <c:pt idx="156">
                  <c:v>-97.802442811407602</c:v>
                </c:pt>
                <c:pt idx="157">
                  <c:v>-97.824854388984804</c:v>
                </c:pt>
                <c:pt idx="158">
                  <c:v>-97.786576131852101</c:v>
                </c:pt>
                <c:pt idx="159">
                  <c:v>-97.689588954022014</c:v>
                </c:pt>
                <c:pt idx="160">
                  <c:v>-97.725604453473281</c:v>
                </c:pt>
                <c:pt idx="161">
                  <c:v>-97.77584813263347</c:v>
                </c:pt>
                <c:pt idx="162">
                  <c:v>-97.880849235428414</c:v>
                </c:pt>
                <c:pt idx="163">
                  <c:v>-97.712017551871853</c:v>
                </c:pt>
                <c:pt idx="164">
                  <c:v>-97.8131745267074</c:v>
                </c:pt>
                <c:pt idx="165">
                  <c:v>-98.09981026733729</c:v>
                </c:pt>
                <c:pt idx="166">
                  <c:v>-97.985007826567482</c:v>
                </c:pt>
                <c:pt idx="167">
                  <c:v>-98.072232098329209</c:v>
                </c:pt>
                <c:pt idx="168">
                  <c:v>-98.021334838758293</c:v>
                </c:pt>
                <c:pt idx="169">
                  <c:v>-98.054353054863086</c:v>
                </c:pt>
                <c:pt idx="170">
                  <c:v>-98.129418151244693</c:v>
                </c:pt>
                <c:pt idx="171">
                  <c:v>-97.982533349825502</c:v>
                </c:pt>
                <c:pt idx="172">
                  <c:v>-98.03252099040381</c:v>
                </c:pt>
                <c:pt idx="173">
                  <c:v>-98.033654216414007</c:v>
                </c:pt>
                <c:pt idx="174">
                  <c:v>-98.062927171663901</c:v>
                </c:pt>
                <c:pt idx="175">
                  <c:v>-98.036691114215998</c:v>
                </c:pt>
                <c:pt idx="176">
                  <c:v>-98.115456932838399</c:v>
                </c:pt>
                <c:pt idx="177">
                  <c:v>-97.961693398880882</c:v>
                </c:pt>
                <c:pt idx="178">
                  <c:v>-97.954822208682216</c:v>
                </c:pt>
                <c:pt idx="179">
                  <c:v>-98.083437884851989</c:v>
                </c:pt>
                <c:pt idx="180">
                  <c:v>-98.116054782578573</c:v>
                </c:pt>
                <c:pt idx="181">
                  <c:v>-98.021639918587795</c:v>
                </c:pt>
                <c:pt idx="182">
                  <c:v>-98.074357166111994</c:v>
                </c:pt>
                <c:pt idx="183">
                  <c:v>-98.081320359843204</c:v>
                </c:pt>
                <c:pt idx="184">
                  <c:v>-97.979699966963992</c:v>
                </c:pt>
                <c:pt idx="185">
                  <c:v>-98.028308502664601</c:v>
                </c:pt>
                <c:pt idx="186">
                  <c:v>-98.069543988204614</c:v>
                </c:pt>
                <c:pt idx="187">
                  <c:v>-98.020451013658104</c:v>
                </c:pt>
                <c:pt idx="188">
                  <c:v>-98.0474153477236</c:v>
                </c:pt>
                <c:pt idx="189">
                  <c:v>-98.05492370936399</c:v>
                </c:pt>
                <c:pt idx="190">
                  <c:v>-98.006987632620806</c:v>
                </c:pt>
                <c:pt idx="191">
                  <c:v>-97.975447117832303</c:v>
                </c:pt>
                <c:pt idx="192">
                  <c:v>-98.140707501990292</c:v>
                </c:pt>
                <c:pt idx="193">
                  <c:v>-98.105393797113408</c:v>
                </c:pt>
                <c:pt idx="194">
                  <c:v>-97.938725662260993</c:v>
                </c:pt>
                <c:pt idx="195">
                  <c:v>-98.044043730724994</c:v>
                </c:pt>
                <c:pt idx="196">
                  <c:v>-97.978138239735017</c:v>
                </c:pt>
                <c:pt idx="197">
                  <c:v>-98.123239119610091</c:v>
                </c:pt>
                <c:pt idx="198">
                  <c:v>-98.012481319426001</c:v>
                </c:pt>
                <c:pt idx="199">
                  <c:v>-98.063647395992604</c:v>
                </c:pt>
                <c:pt idx="200">
                  <c:v>-98.084293467056796</c:v>
                </c:pt>
                <c:pt idx="201">
                  <c:v>-98.05424555295609</c:v>
                </c:pt>
                <c:pt idx="202">
                  <c:v>-97.925184127485906</c:v>
                </c:pt>
                <c:pt idx="203">
                  <c:v>-97.9543440458947</c:v>
                </c:pt>
                <c:pt idx="204">
                  <c:v>-97.991227218186395</c:v>
                </c:pt>
                <c:pt idx="205">
                  <c:v>-98.088114108486224</c:v>
                </c:pt>
                <c:pt idx="206">
                  <c:v>-97.941170396875677</c:v>
                </c:pt>
                <c:pt idx="207">
                  <c:v>-98.091128726978809</c:v>
                </c:pt>
                <c:pt idx="208">
                  <c:v>-98.117854938645792</c:v>
                </c:pt>
                <c:pt idx="209">
                  <c:v>-98.0851145430955</c:v>
                </c:pt>
                <c:pt idx="210">
                  <c:v>-97.960626714474003</c:v>
                </c:pt>
                <c:pt idx="211">
                  <c:v>-98.051069623680391</c:v>
                </c:pt>
                <c:pt idx="212">
                  <c:v>-97.987850420779282</c:v>
                </c:pt>
                <c:pt idx="213">
                  <c:v>-98.036314001988103</c:v>
                </c:pt>
                <c:pt idx="214">
                  <c:v>-97.943740209520186</c:v>
                </c:pt>
                <c:pt idx="215">
                  <c:v>-98.051559612422679</c:v>
                </c:pt>
                <c:pt idx="216">
                  <c:v>-98.106693494532806</c:v>
                </c:pt>
                <c:pt idx="217">
                  <c:v>-98.046791407679805</c:v>
                </c:pt>
                <c:pt idx="218">
                  <c:v>-97.983551553474598</c:v>
                </c:pt>
                <c:pt idx="219">
                  <c:v>-97.989640057498804</c:v>
                </c:pt>
                <c:pt idx="220">
                  <c:v>-98.108391000545083</c:v>
                </c:pt>
                <c:pt idx="221">
                  <c:v>-98.050605928196305</c:v>
                </c:pt>
                <c:pt idx="222">
                  <c:v>-97.98712700354541</c:v>
                </c:pt>
                <c:pt idx="223">
                  <c:v>-98.135660614754414</c:v>
                </c:pt>
                <c:pt idx="224">
                  <c:v>-98.089409606162889</c:v>
                </c:pt>
                <c:pt idx="225">
                  <c:v>-98.079945504592104</c:v>
                </c:pt>
                <c:pt idx="226">
                  <c:v>-98.049130033624493</c:v>
                </c:pt>
                <c:pt idx="227">
                  <c:v>-97.991023451205905</c:v>
                </c:pt>
                <c:pt idx="228">
                  <c:v>-98.012596934141882</c:v>
                </c:pt>
                <c:pt idx="229">
                  <c:v>-98.049296045080467</c:v>
                </c:pt>
                <c:pt idx="230">
                  <c:v>-98.072377539844396</c:v>
                </c:pt>
                <c:pt idx="231">
                  <c:v>-98.035423157256801</c:v>
                </c:pt>
                <c:pt idx="232">
                  <c:v>-98.0292953146391</c:v>
                </c:pt>
                <c:pt idx="233">
                  <c:v>-98.148992904667693</c:v>
                </c:pt>
                <c:pt idx="234">
                  <c:v>-98.033628572252397</c:v>
                </c:pt>
                <c:pt idx="235">
                  <c:v>-98.080967132503801</c:v>
                </c:pt>
                <c:pt idx="236">
                  <c:v>-97.925295786994681</c:v>
                </c:pt>
                <c:pt idx="237">
                  <c:v>-98.077578220165279</c:v>
                </c:pt>
                <c:pt idx="238">
                  <c:v>-97.973035235735395</c:v>
                </c:pt>
                <c:pt idx="239">
                  <c:v>-97.996237568577598</c:v>
                </c:pt>
                <c:pt idx="240">
                  <c:v>-98.132834807238268</c:v>
                </c:pt>
                <c:pt idx="241">
                  <c:v>-98.141400733585996</c:v>
                </c:pt>
                <c:pt idx="242">
                  <c:v>-98.082667515777402</c:v>
                </c:pt>
                <c:pt idx="243">
                  <c:v>-97.97614351294169</c:v>
                </c:pt>
                <c:pt idx="244">
                  <c:v>-97.952945976937698</c:v>
                </c:pt>
                <c:pt idx="245">
                  <c:v>-98.069391486587804</c:v>
                </c:pt>
                <c:pt idx="246">
                  <c:v>-97.93596445018818</c:v>
                </c:pt>
                <c:pt idx="247">
                  <c:v>-97.996686274860807</c:v>
                </c:pt>
                <c:pt idx="248">
                  <c:v>-98.110535210507678</c:v>
                </c:pt>
                <c:pt idx="249">
                  <c:v>-98.097241292229199</c:v>
                </c:pt>
                <c:pt idx="250">
                  <c:v>-98.041869544803504</c:v>
                </c:pt>
                <c:pt idx="251">
                  <c:v>-98.096735469406212</c:v>
                </c:pt>
                <c:pt idx="252">
                  <c:v>-98.045268533014792</c:v>
                </c:pt>
                <c:pt idx="253">
                  <c:v>-97.933893005135687</c:v>
                </c:pt>
                <c:pt idx="254">
                  <c:v>-98.16104257990547</c:v>
                </c:pt>
                <c:pt idx="255">
                  <c:v>-98.05350174337039</c:v>
                </c:pt>
                <c:pt idx="256">
                  <c:v>-98.03844049152147</c:v>
                </c:pt>
                <c:pt idx="257">
                  <c:v>-97.937947669138481</c:v>
                </c:pt>
                <c:pt idx="258">
                  <c:v>-98.083818385851103</c:v>
                </c:pt>
                <c:pt idx="259">
                  <c:v>-97.902588616214402</c:v>
                </c:pt>
                <c:pt idx="260">
                  <c:v>-98.135116951572499</c:v>
                </c:pt>
                <c:pt idx="261">
                  <c:v>-98.120657284805105</c:v>
                </c:pt>
                <c:pt idx="262">
                  <c:v>-97.971269817672606</c:v>
                </c:pt>
                <c:pt idx="263">
                  <c:v>-98.026164630538801</c:v>
                </c:pt>
                <c:pt idx="264">
                  <c:v>-97.987968289224881</c:v>
                </c:pt>
                <c:pt idx="265">
                  <c:v>-98.023154114295608</c:v>
                </c:pt>
                <c:pt idx="266">
                  <c:v>-98.023153021319814</c:v>
                </c:pt>
                <c:pt idx="267">
                  <c:v>-98.140477114483005</c:v>
                </c:pt>
                <c:pt idx="268">
                  <c:v>-98.043035957458102</c:v>
                </c:pt>
                <c:pt idx="269">
                  <c:v>-97.989918491615384</c:v>
                </c:pt>
                <c:pt idx="270">
                  <c:v>-98.057964073738404</c:v>
                </c:pt>
                <c:pt idx="271">
                  <c:v>-98.051768036964972</c:v>
                </c:pt>
                <c:pt idx="272">
                  <c:v>-97.99613930416578</c:v>
                </c:pt>
                <c:pt idx="273">
                  <c:v>-98.002997543063017</c:v>
                </c:pt>
                <c:pt idx="274">
                  <c:v>-98.065498787899003</c:v>
                </c:pt>
                <c:pt idx="275">
                  <c:v>-98.095300410181096</c:v>
                </c:pt>
                <c:pt idx="276">
                  <c:v>-98.038198166594412</c:v>
                </c:pt>
                <c:pt idx="277">
                  <c:v>-98.020047441000301</c:v>
                </c:pt>
                <c:pt idx="278">
                  <c:v>-98.089679781172194</c:v>
                </c:pt>
                <c:pt idx="279">
                  <c:v>-98.11815801446248</c:v>
                </c:pt>
                <c:pt idx="280">
                  <c:v>-98.074019650461452</c:v>
                </c:pt>
                <c:pt idx="281">
                  <c:v>-97.979565012883995</c:v>
                </c:pt>
                <c:pt idx="282">
                  <c:v>-97.913384919939602</c:v>
                </c:pt>
                <c:pt idx="283">
                  <c:v>-97.981551451132404</c:v>
                </c:pt>
                <c:pt idx="284">
                  <c:v>-98.072189087323679</c:v>
                </c:pt>
                <c:pt idx="285">
                  <c:v>-98.022887539960607</c:v>
                </c:pt>
                <c:pt idx="286">
                  <c:v>-98.070747463169894</c:v>
                </c:pt>
                <c:pt idx="287">
                  <c:v>-97.953249134633992</c:v>
                </c:pt>
                <c:pt idx="288">
                  <c:v>-97.936836835155006</c:v>
                </c:pt>
                <c:pt idx="289">
                  <c:v>-97.947270496753504</c:v>
                </c:pt>
                <c:pt idx="290">
                  <c:v>-98.044266480336404</c:v>
                </c:pt>
                <c:pt idx="291">
                  <c:v>-98.036809964660804</c:v>
                </c:pt>
                <c:pt idx="292">
                  <c:v>-98.130075393044606</c:v>
                </c:pt>
                <c:pt idx="293">
                  <c:v>-97.972372563833403</c:v>
                </c:pt>
                <c:pt idx="294">
                  <c:v>-98.025861601654483</c:v>
                </c:pt>
                <c:pt idx="295">
                  <c:v>-97.964618266747593</c:v>
                </c:pt>
                <c:pt idx="296">
                  <c:v>-98.031573379853796</c:v>
                </c:pt>
                <c:pt idx="297">
                  <c:v>-98.011167805755207</c:v>
                </c:pt>
                <c:pt idx="298">
                  <c:v>-97.985971145590099</c:v>
                </c:pt>
                <c:pt idx="299">
                  <c:v>-98.078342052395797</c:v>
                </c:pt>
                <c:pt idx="300">
                  <c:v>-98.039717990942009</c:v>
                </c:pt>
                <c:pt idx="301">
                  <c:v>-98.072775115317782</c:v>
                </c:pt>
                <c:pt idx="302">
                  <c:v>-98.070375619384876</c:v>
                </c:pt>
                <c:pt idx="303">
                  <c:v>-97.967490083970404</c:v>
                </c:pt>
                <c:pt idx="304">
                  <c:v>-98.044259062839302</c:v>
                </c:pt>
                <c:pt idx="305">
                  <c:v>-98.069607597998598</c:v>
                </c:pt>
                <c:pt idx="306">
                  <c:v>-98.083220408901198</c:v>
                </c:pt>
                <c:pt idx="307">
                  <c:v>-97.94606146171121</c:v>
                </c:pt>
                <c:pt idx="308">
                  <c:v>-97.987348718598227</c:v>
                </c:pt>
                <c:pt idx="309">
                  <c:v>-98.044239458549882</c:v>
                </c:pt>
                <c:pt idx="310">
                  <c:v>-98.01882229478899</c:v>
                </c:pt>
                <c:pt idx="311">
                  <c:v>-98.200079150876476</c:v>
                </c:pt>
                <c:pt idx="312">
                  <c:v>-98.006539278835817</c:v>
                </c:pt>
                <c:pt idx="313">
                  <c:v>-98.032042846816609</c:v>
                </c:pt>
                <c:pt idx="314">
                  <c:v>-98.034690229694405</c:v>
                </c:pt>
                <c:pt idx="315">
                  <c:v>-97.953574146391105</c:v>
                </c:pt>
                <c:pt idx="316">
                  <c:v>-97.979820878200627</c:v>
                </c:pt>
                <c:pt idx="317">
                  <c:v>-98.024334645033207</c:v>
                </c:pt>
                <c:pt idx="318">
                  <c:v>-97.963808186073095</c:v>
                </c:pt>
                <c:pt idx="319">
                  <c:v>-98.072095622500996</c:v>
                </c:pt>
                <c:pt idx="320">
                  <c:v>-98.153003740230702</c:v>
                </c:pt>
                <c:pt idx="321">
                  <c:v>-97.964719883828877</c:v>
                </c:pt>
                <c:pt idx="322">
                  <c:v>-98.041171875912653</c:v>
                </c:pt>
                <c:pt idx="323">
                  <c:v>-97.979692937238795</c:v>
                </c:pt>
                <c:pt idx="324">
                  <c:v>-98.073767724997452</c:v>
                </c:pt>
                <c:pt idx="325">
                  <c:v>-98.08289678399187</c:v>
                </c:pt>
                <c:pt idx="326">
                  <c:v>-97.882809683054305</c:v>
                </c:pt>
                <c:pt idx="327">
                  <c:v>-98.188940092790006</c:v>
                </c:pt>
                <c:pt idx="328">
                  <c:v>-97.949019043400199</c:v>
                </c:pt>
                <c:pt idx="329">
                  <c:v>-97.980327236056084</c:v>
                </c:pt>
                <c:pt idx="330">
                  <c:v>-98.092244959404397</c:v>
                </c:pt>
                <c:pt idx="331">
                  <c:v>-98.110509592752393</c:v>
                </c:pt>
                <c:pt idx="332">
                  <c:v>-98.162101991551381</c:v>
                </c:pt>
                <c:pt idx="333">
                  <c:v>-98.097235973781196</c:v>
                </c:pt>
                <c:pt idx="334">
                  <c:v>-98.125435349198696</c:v>
                </c:pt>
                <c:pt idx="335">
                  <c:v>-98.106858919988653</c:v>
                </c:pt>
                <c:pt idx="336">
                  <c:v>-98.042880462361708</c:v>
                </c:pt>
                <c:pt idx="337">
                  <c:v>-98.057651070246393</c:v>
                </c:pt>
                <c:pt idx="338">
                  <c:v>-97.966264084920624</c:v>
                </c:pt>
                <c:pt idx="339">
                  <c:v>-97.961709135933702</c:v>
                </c:pt>
                <c:pt idx="340">
                  <c:v>-97.989449844815809</c:v>
                </c:pt>
                <c:pt idx="341">
                  <c:v>-98.09444362902579</c:v>
                </c:pt>
                <c:pt idx="342">
                  <c:v>-98.065786851523598</c:v>
                </c:pt>
                <c:pt idx="343">
                  <c:v>-98.023121532211817</c:v>
                </c:pt>
                <c:pt idx="344">
                  <c:v>-97.906456276362221</c:v>
                </c:pt>
                <c:pt idx="345">
                  <c:v>-98.133944033276009</c:v>
                </c:pt>
                <c:pt idx="346">
                  <c:v>-98.097957393524396</c:v>
                </c:pt>
                <c:pt idx="347">
                  <c:v>-98.134658775832392</c:v>
                </c:pt>
                <c:pt idx="348">
                  <c:v>-98.029463952772403</c:v>
                </c:pt>
                <c:pt idx="349">
                  <c:v>-98.073306682560002</c:v>
                </c:pt>
                <c:pt idx="350">
                  <c:v>-97.982138855169424</c:v>
                </c:pt>
                <c:pt idx="351">
                  <c:v>-98.123381513841792</c:v>
                </c:pt>
                <c:pt idx="352">
                  <c:v>-98.093824082765593</c:v>
                </c:pt>
                <c:pt idx="353">
                  <c:v>-98.100336602901095</c:v>
                </c:pt>
                <c:pt idx="354">
                  <c:v>-98.079008925411003</c:v>
                </c:pt>
                <c:pt idx="355">
                  <c:v>-98.091937626473424</c:v>
                </c:pt>
                <c:pt idx="356">
                  <c:v>-98.145339174245407</c:v>
                </c:pt>
                <c:pt idx="357">
                  <c:v>-98.08825780576089</c:v>
                </c:pt>
                <c:pt idx="358">
                  <c:v>-98.105871856090502</c:v>
                </c:pt>
                <c:pt idx="359">
                  <c:v>-98.099557838357228</c:v>
                </c:pt>
                <c:pt idx="360">
                  <c:v>-98.090103145879681</c:v>
                </c:pt>
                <c:pt idx="361">
                  <c:v>-98.117959838481198</c:v>
                </c:pt>
                <c:pt idx="362">
                  <c:v>-98.153705905339194</c:v>
                </c:pt>
                <c:pt idx="363">
                  <c:v>-98.033667063917591</c:v>
                </c:pt>
                <c:pt idx="364">
                  <c:v>-98.004029641413268</c:v>
                </c:pt>
                <c:pt idx="365">
                  <c:v>-97.96914369946289</c:v>
                </c:pt>
                <c:pt idx="366">
                  <c:v>-98.015143539169998</c:v>
                </c:pt>
                <c:pt idx="367">
                  <c:v>-98.078851518609596</c:v>
                </c:pt>
                <c:pt idx="368">
                  <c:v>-97.976738253305427</c:v>
                </c:pt>
                <c:pt idx="369">
                  <c:v>-97.982549600895865</c:v>
                </c:pt>
                <c:pt idx="370">
                  <c:v>-97.985865524399699</c:v>
                </c:pt>
                <c:pt idx="371">
                  <c:v>-97.927224214004198</c:v>
                </c:pt>
                <c:pt idx="372">
                  <c:v>-98.110515473715012</c:v>
                </c:pt>
                <c:pt idx="373">
                  <c:v>-98.081316143012188</c:v>
                </c:pt>
                <c:pt idx="374">
                  <c:v>-98.112286718964</c:v>
                </c:pt>
                <c:pt idx="375">
                  <c:v>-97.942951260228099</c:v>
                </c:pt>
                <c:pt idx="376">
                  <c:v>-97.987385157982828</c:v>
                </c:pt>
                <c:pt idx="377">
                  <c:v>-98.02092037250209</c:v>
                </c:pt>
                <c:pt idx="378">
                  <c:v>-98.008108362810802</c:v>
                </c:pt>
                <c:pt idx="379">
                  <c:v>-97.894536533038405</c:v>
                </c:pt>
                <c:pt idx="380">
                  <c:v>-98.124548667760195</c:v>
                </c:pt>
                <c:pt idx="381">
                  <c:v>-98.175597351244193</c:v>
                </c:pt>
                <c:pt idx="382">
                  <c:v>-98.230063453800398</c:v>
                </c:pt>
                <c:pt idx="383">
                  <c:v>-97.964030711889791</c:v>
                </c:pt>
                <c:pt idx="384">
                  <c:v>-98.041301933180094</c:v>
                </c:pt>
                <c:pt idx="385">
                  <c:v>-98.132598883482089</c:v>
                </c:pt>
                <c:pt idx="386">
                  <c:v>-98.0782969704088</c:v>
                </c:pt>
                <c:pt idx="387">
                  <c:v>-97.958131190964494</c:v>
                </c:pt>
                <c:pt idx="388">
                  <c:v>-98.104706864056979</c:v>
                </c:pt>
                <c:pt idx="389">
                  <c:v>-97.919684695711609</c:v>
                </c:pt>
                <c:pt idx="390">
                  <c:v>-98.011843719329505</c:v>
                </c:pt>
                <c:pt idx="391">
                  <c:v>-98.070173715944605</c:v>
                </c:pt>
                <c:pt idx="392">
                  <c:v>-98.003983702052196</c:v>
                </c:pt>
                <c:pt idx="393">
                  <c:v>-98.039421399150399</c:v>
                </c:pt>
                <c:pt idx="394">
                  <c:v>-97.986035625268883</c:v>
                </c:pt>
                <c:pt idx="395">
                  <c:v>-98.034788800093423</c:v>
                </c:pt>
                <c:pt idx="396">
                  <c:v>-98.098798978533793</c:v>
                </c:pt>
                <c:pt idx="397">
                  <c:v>-98.138046238102802</c:v>
                </c:pt>
                <c:pt idx="398">
                  <c:v>-98.033943691233276</c:v>
                </c:pt>
                <c:pt idx="399">
                  <c:v>-98.08871509693148</c:v>
                </c:pt>
                <c:pt idx="400">
                  <c:v>-98.042513411075902</c:v>
                </c:pt>
                <c:pt idx="401">
                  <c:v>-98.019423678048284</c:v>
                </c:pt>
                <c:pt idx="402">
                  <c:v>-97.968418845363701</c:v>
                </c:pt>
                <c:pt idx="403">
                  <c:v>-98.028778441770996</c:v>
                </c:pt>
                <c:pt idx="404">
                  <c:v>-98.122460908827279</c:v>
                </c:pt>
                <c:pt idx="405">
                  <c:v>-98.042229006968398</c:v>
                </c:pt>
                <c:pt idx="406">
                  <c:v>-98.117598183904192</c:v>
                </c:pt>
                <c:pt idx="407">
                  <c:v>-98.070067154009678</c:v>
                </c:pt>
                <c:pt idx="408">
                  <c:v>-98.0649726274561</c:v>
                </c:pt>
                <c:pt idx="409">
                  <c:v>-98.119564297627505</c:v>
                </c:pt>
                <c:pt idx="410">
                  <c:v>-98.169961046102003</c:v>
                </c:pt>
                <c:pt idx="411">
                  <c:v>-98.019594964624801</c:v>
                </c:pt>
                <c:pt idx="412">
                  <c:v>-97.990819184560706</c:v>
                </c:pt>
                <c:pt idx="413">
                  <c:v>-98.073137605045773</c:v>
                </c:pt>
                <c:pt idx="414">
                  <c:v>-98.017250678723599</c:v>
                </c:pt>
                <c:pt idx="415">
                  <c:v>-98.054836994476304</c:v>
                </c:pt>
                <c:pt idx="416">
                  <c:v>-98.051828698996502</c:v>
                </c:pt>
                <c:pt idx="417">
                  <c:v>-98.015430553123991</c:v>
                </c:pt>
                <c:pt idx="418">
                  <c:v>-98.161634625080481</c:v>
                </c:pt>
                <c:pt idx="419">
                  <c:v>-98.133032278359195</c:v>
                </c:pt>
                <c:pt idx="420">
                  <c:v>-98.032650289361897</c:v>
                </c:pt>
                <c:pt idx="421">
                  <c:v>-98.137092427865085</c:v>
                </c:pt>
                <c:pt idx="422">
                  <c:v>-98.053114584222214</c:v>
                </c:pt>
                <c:pt idx="423">
                  <c:v>-98.079797699380407</c:v>
                </c:pt>
                <c:pt idx="424">
                  <c:v>-98.014519254313598</c:v>
                </c:pt>
                <c:pt idx="425">
                  <c:v>-98.128395688055392</c:v>
                </c:pt>
                <c:pt idx="426">
                  <c:v>-97.963937597597678</c:v>
                </c:pt>
                <c:pt idx="427">
                  <c:v>-98.065938155230228</c:v>
                </c:pt>
                <c:pt idx="428">
                  <c:v>-98.080084729412192</c:v>
                </c:pt>
                <c:pt idx="429">
                  <c:v>-98.089614782571388</c:v>
                </c:pt>
                <c:pt idx="430">
                  <c:v>-98.063004313768602</c:v>
                </c:pt>
                <c:pt idx="431">
                  <c:v>-98.178183765653699</c:v>
                </c:pt>
                <c:pt idx="432">
                  <c:v>-98.123118537796671</c:v>
                </c:pt>
                <c:pt idx="433">
                  <c:v>-98.091577954163995</c:v>
                </c:pt>
                <c:pt idx="434">
                  <c:v>-97.989642449771594</c:v>
                </c:pt>
                <c:pt idx="435">
                  <c:v>-98.101685656377796</c:v>
                </c:pt>
                <c:pt idx="436">
                  <c:v>-98.095593168614414</c:v>
                </c:pt>
                <c:pt idx="437">
                  <c:v>-98.098063804938093</c:v>
                </c:pt>
                <c:pt idx="438">
                  <c:v>-98.114964480577882</c:v>
                </c:pt>
                <c:pt idx="439">
                  <c:v>-97.938132783234877</c:v>
                </c:pt>
                <c:pt idx="440">
                  <c:v>-98.042912652172802</c:v>
                </c:pt>
                <c:pt idx="441">
                  <c:v>-98.134000860643994</c:v>
                </c:pt>
                <c:pt idx="442">
                  <c:v>-98.142797091768401</c:v>
                </c:pt>
                <c:pt idx="443">
                  <c:v>-98.032148490545282</c:v>
                </c:pt>
                <c:pt idx="444">
                  <c:v>-97.961846869443079</c:v>
                </c:pt>
                <c:pt idx="445">
                  <c:v>-98.108096363889999</c:v>
                </c:pt>
                <c:pt idx="446">
                  <c:v>-98.111519835460996</c:v>
                </c:pt>
                <c:pt idx="447">
                  <c:v>-97.916505768955204</c:v>
                </c:pt>
                <c:pt idx="448">
                  <c:v>-98.051749987827392</c:v>
                </c:pt>
                <c:pt idx="449">
                  <c:v>-97.98367412365468</c:v>
                </c:pt>
                <c:pt idx="450">
                  <c:v>-98.043385745219851</c:v>
                </c:pt>
                <c:pt idx="451">
                  <c:v>-98.109950895106252</c:v>
                </c:pt>
                <c:pt idx="452">
                  <c:v>-98.112538980248601</c:v>
                </c:pt>
                <c:pt idx="453">
                  <c:v>-98.099782875274599</c:v>
                </c:pt>
                <c:pt idx="454">
                  <c:v>-98.101378734996615</c:v>
                </c:pt>
                <c:pt idx="455">
                  <c:v>-98.172317333483903</c:v>
                </c:pt>
                <c:pt idx="456">
                  <c:v>-98.049687726421197</c:v>
                </c:pt>
                <c:pt idx="457">
                  <c:v>-98.013912823918574</c:v>
                </c:pt>
                <c:pt idx="458">
                  <c:v>-98.039946443524883</c:v>
                </c:pt>
                <c:pt idx="459">
                  <c:v>-98.015165400849199</c:v>
                </c:pt>
                <c:pt idx="460">
                  <c:v>-97.925831520504602</c:v>
                </c:pt>
                <c:pt idx="461">
                  <c:v>-98.116428494160999</c:v>
                </c:pt>
                <c:pt idx="462">
                  <c:v>-98.170370989016476</c:v>
                </c:pt>
                <c:pt idx="463">
                  <c:v>-98.040717467575405</c:v>
                </c:pt>
                <c:pt idx="464">
                  <c:v>-97.875109780015208</c:v>
                </c:pt>
                <c:pt idx="465">
                  <c:v>-98.064838777838304</c:v>
                </c:pt>
                <c:pt idx="466">
                  <c:v>-97.948971045488491</c:v>
                </c:pt>
                <c:pt idx="467">
                  <c:v>-98.045861740228716</c:v>
                </c:pt>
                <c:pt idx="468">
                  <c:v>-98.0865566509068</c:v>
                </c:pt>
                <c:pt idx="469">
                  <c:v>-98.123727733699482</c:v>
                </c:pt>
                <c:pt idx="470">
                  <c:v>-98.058333313935677</c:v>
                </c:pt>
                <c:pt idx="471">
                  <c:v>-98.144944756174482</c:v>
                </c:pt>
                <c:pt idx="472">
                  <c:v>-98.080676820474594</c:v>
                </c:pt>
                <c:pt idx="473">
                  <c:v>-98.120462326563398</c:v>
                </c:pt>
                <c:pt idx="474">
                  <c:v>-97.973819899437814</c:v>
                </c:pt>
                <c:pt idx="475">
                  <c:v>-98.0721823794361</c:v>
                </c:pt>
                <c:pt idx="476">
                  <c:v>-98.020761878126081</c:v>
                </c:pt>
                <c:pt idx="477">
                  <c:v>-98.04535632976048</c:v>
                </c:pt>
                <c:pt idx="478">
                  <c:v>-98.084435785699853</c:v>
                </c:pt>
                <c:pt idx="479">
                  <c:v>-98.049581663940884</c:v>
                </c:pt>
                <c:pt idx="480">
                  <c:v>-98.045334951685504</c:v>
                </c:pt>
                <c:pt idx="481">
                  <c:v>-97.991387465360404</c:v>
                </c:pt>
                <c:pt idx="482">
                  <c:v>-98.099133515411069</c:v>
                </c:pt>
                <c:pt idx="483">
                  <c:v>-98.000373994117197</c:v>
                </c:pt>
                <c:pt idx="484">
                  <c:v>-98.081451235873516</c:v>
                </c:pt>
                <c:pt idx="485">
                  <c:v>-98.108631239807679</c:v>
                </c:pt>
                <c:pt idx="486">
                  <c:v>-97.924588006908806</c:v>
                </c:pt>
                <c:pt idx="487">
                  <c:v>-98.127365087571903</c:v>
                </c:pt>
                <c:pt idx="488">
                  <c:v>-98.119418148626409</c:v>
                </c:pt>
                <c:pt idx="489">
                  <c:v>-98.086064267757408</c:v>
                </c:pt>
                <c:pt idx="490">
                  <c:v>-98.133838540720191</c:v>
                </c:pt>
                <c:pt idx="491">
                  <c:v>-98.105467537568501</c:v>
                </c:pt>
                <c:pt idx="492">
                  <c:v>-97.979646442156394</c:v>
                </c:pt>
                <c:pt idx="493">
                  <c:v>-98.105365401153279</c:v>
                </c:pt>
                <c:pt idx="494">
                  <c:v>-97.974114307629591</c:v>
                </c:pt>
                <c:pt idx="495">
                  <c:v>-98.130260808811514</c:v>
                </c:pt>
                <c:pt idx="496">
                  <c:v>-97.9672258437907</c:v>
                </c:pt>
                <c:pt idx="497">
                  <c:v>-98.075157508819373</c:v>
                </c:pt>
                <c:pt idx="498">
                  <c:v>-98.05418794529561</c:v>
                </c:pt>
                <c:pt idx="499">
                  <c:v>-98.044885837081281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685A-49FD-86B5-A5597FD18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frequency (Hz)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00"/>
        <c:crossBetween val="between"/>
      </c:valAx>
      <c:valAx>
        <c:axId val="11"/>
        <c:scaling>
          <c:orientation val="minMax"/>
          <c:max val="-95"/>
          <c:min val="-10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title>
          <c:tx>
            <c:rich>
              <a:bodyPr anchor="ctr" anchorCtr="1"/>
              <a:lstStyle/>
              <a:p>
                <a:pPr>
                  <a:defRPr lang="es-mx" sz="1000" b="1" i="0" u="none" strike="noStrike" kern="100">
                    <a:solidFill>
                      <a:srgbClr val="000000"/>
                    </a:solidFill>
                    <a:latin typeface="Calibri" charset="0"/>
                  </a:defRPr>
                </a:pPr>
                <a:r>
                  <a:t>THD+N (dBV)</a:t>
                </a:r>
              </a:p>
            </c:rich>
          </c:tx>
          <c:overlay val="0"/>
          <c:spPr>
            <a:noFill/>
            <a:ln w="9525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 w="9525">
          <a:noFill/>
        </a:ln>
      </c:spPr>
    </c:plotArea>
    <c:legend>
      <c:legendPos val="b"/>
      <c:overlay val="0"/>
      <c:spPr>
        <a:noFill/>
        <a:ln w="9525">
          <a:noFill/>
        </a:ln>
      </c:spPr>
      <c:txPr>
        <a:bodyPr anchor="ctr" anchorCtr="1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zero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ctr" anchorCtr="1"/>
          <a:lstStyle/>
          <a:p>
            <a:pPr>
              <a:defRPr lang="es-mx" sz="14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r>
              <a:t>THD comparison</a:t>
            </a:r>
          </a:p>
        </c:rich>
      </c:tx>
      <c:overlay val="0"/>
      <c:spPr>
        <a:noFill/>
        <a:ln w="9525"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Board_2</c:v>
          </c:tx>
          <c:spPr>
            <a:ln w="1905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'THD Board 1'!$F$19:$F$31</c:f>
              <c:numCache>
                <c:formatCode>0</c:formatCode>
                <c:ptCount val="13"/>
                <c:pt idx="0" formatCode="0.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'THD Board 1'!$G$19:$G$31</c:f>
              <c:numCache>
                <c:formatCode>0.00</c:formatCode>
                <c:ptCount val="13"/>
                <c:pt idx="0">
                  <c:v>-143.51556406492168</c:v>
                </c:pt>
                <c:pt idx="1">
                  <c:v>-138.58460363308183</c:v>
                </c:pt>
                <c:pt idx="2">
                  <c:v>-127.84910659898627</c:v>
                </c:pt>
                <c:pt idx="3">
                  <c:v>-123.80052771133877</c:v>
                </c:pt>
                <c:pt idx="4">
                  <c:v>-117.41938304755395</c:v>
                </c:pt>
                <c:pt idx="5">
                  <c:v>-108.54048652831018</c:v>
                </c:pt>
                <c:pt idx="6">
                  <c:v>-98.971934486941294</c:v>
                </c:pt>
                <c:pt idx="7">
                  <c:v>-88.516218929776969</c:v>
                </c:pt>
                <c:pt idx="8">
                  <c:v>-88.333037420985221</c:v>
                </c:pt>
                <c:pt idx="9">
                  <c:v>-73.001149738721693</c:v>
                </c:pt>
                <c:pt idx="10">
                  <c:v>-73.086956453125254</c:v>
                </c:pt>
                <c:pt idx="11">
                  <c:v>-46.156371556379099</c:v>
                </c:pt>
                <c:pt idx="12">
                  <c:v>-45.006206614518717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406D-424F-9D6C-D85CA4DD6D8E}"/>
            </c:ext>
          </c:extLst>
        </c:ser>
        <c:ser>
          <c:idx val="1"/>
          <c:order val="1"/>
          <c:tx>
            <c:v>Board_1</c:v>
          </c:tx>
          <c:spPr>
            <a:ln w="1905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'THD Board 1'!$J$19:$J$28</c:f>
              <c:numCache>
                <c:formatCode>General</c:formatCode>
                <c:ptCount val="10"/>
                <c:pt idx="0">
                  <c:v>62.5</c:v>
                </c:pt>
                <c:pt idx="1">
                  <c:v>125</c:v>
                </c:pt>
                <c:pt idx="2">
                  <c:v>625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</c:numCache>
            </c:numRef>
          </c:xVal>
          <c:yVal>
            <c:numRef>
              <c:f>'THD Board 1'!$K$19:$K$28</c:f>
              <c:numCache>
                <c:formatCode>0.00</c:formatCode>
                <c:ptCount val="10"/>
                <c:pt idx="0">
                  <c:v>-148.51428386083185</c:v>
                </c:pt>
                <c:pt idx="1">
                  <c:v>-144.36750586012769</c:v>
                </c:pt>
                <c:pt idx="2">
                  <c:v>-137.55742742658759</c:v>
                </c:pt>
                <c:pt idx="3">
                  <c:v>-134.14337658342782</c:v>
                </c:pt>
                <c:pt idx="4">
                  <c:v>-127.30397584874014</c:v>
                </c:pt>
                <c:pt idx="5">
                  <c:v>-115.48798076794235</c:v>
                </c:pt>
                <c:pt idx="6">
                  <c:v>-103.88323934439177</c:v>
                </c:pt>
                <c:pt idx="7">
                  <c:v>-92.429078048879504</c:v>
                </c:pt>
                <c:pt idx="8">
                  <c:v>-76.488895014256371</c:v>
                </c:pt>
                <c:pt idx="9">
                  <c:v>-45.135350449011248</c:v>
                </c:pt>
              </c:numCache>
            </c:numRef>
          </c:yVal>
          <c:smooth val="1"/>
          <c:extLst>
            <c:ext xmlns:sm="smo" uri="smo">
              <sm:meanLine>
                <c:spPr>
                  <a:ln w="9525">
                    <a:noFill/>
                  </a:ln>
                </c:spPr>
              </sm:meanLine>
              <sm:minMaxLine>
                <c:spPr>
                  <a:ln w="9525">
                    <a:noFill/>
                  </a:ln>
                </c:spPr>
              </sm:minMaxLine>
              <sm:stDevLine>
                <c:spPr>
                  <a:ln w="9525">
                    <a:noFill/>
                  </a:ln>
                </c:spPr>
              </sm:stDevLine>
              <sm:trendLine>
                <c:spPr>
                  <a:ln w="9525"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406D-424F-9D6C-D85CA4DD6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>
          <c:spPr>
            <a:ln w="9525">
              <a:solidFill>
                <a:srgbClr val="D8D8D8"/>
              </a:solidFill>
            </a:ln>
          </c:spPr>
        </c:majorGridlines>
        <c:numFmt formatCode="0.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  <c:max val="-40"/>
        </c:scaling>
        <c:delete val="0"/>
        <c:axPos val="l"/>
        <c:majorGridlines>
          <c:spPr>
            <a:ln w="9525">
              <a:solidFill>
                <a:srgbClr val="D8D8D8"/>
              </a:solidFill>
            </a:ln>
          </c:spPr>
        </c:majorGridlines>
        <c:numFmt formatCode="0.00" sourceLinked="1"/>
        <c:majorTickMark val="none"/>
        <c:minorTickMark val="none"/>
        <c:tickLblPos val="nextTo"/>
        <c:spPr>
          <a:ln w="9525">
            <a:solidFill>
              <a:srgbClr val="BFBFBF"/>
            </a:solidFill>
          </a:ln>
        </c:spPr>
        <c:txPr>
          <a:bodyPr rot="-60000000" anchor="ctr" anchorCtr="1"/>
          <a:lstStyle/>
          <a:p>
            <a:pPr>
              <a:defRPr lang="es-mx" sz="900" b="0" i="0" u="none" strike="noStrike" kern="100">
                <a:solidFill>
                  <a:srgbClr val="595959"/>
                </a:solidFill>
                <a:latin typeface="Calibri" charset="0"/>
              </a:defRPr>
            </a:pPr>
            <a:endParaRPr lang="es-AR"/>
          </a:p>
        </c:txPr>
        <c:crossAx val="10"/>
        <c:crosses val="autoZero"/>
        <c:crossBetween val="midCat"/>
      </c:valAx>
      <c:spPr>
        <a:noFill/>
        <a:ln w="9525">
          <a:noFill/>
        </a:ln>
      </c:spPr>
    </c:plotArea>
    <c:legend>
      <c:legendPos val="t"/>
      <c:overlay val="0"/>
      <c:spPr>
        <a:noFill/>
        <a:ln w="9525">
          <a:noFill/>
        </a:ln>
      </c:spPr>
      <c:txPr>
        <a:bodyPr numCol="2"/>
        <a:lstStyle/>
        <a:p>
          <a:pPr>
            <a:defRPr lang="es-mx" sz="900" b="0" i="0" u="none" strike="noStrike" kern="100">
              <a:solidFill>
                <a:srgbClr val="595959"/>
              </a:solidFill>
              <a:latin typeface="Calibri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rgbClr val="FFFFFF"/>
    </a:solidFill>
    <a:ln w="9525">
      <a:solidFill>
        <a:srgbClr val="D8D8D8"/>
      </a:solidFill>
    </a:ln>
  </c:spPr>
  <c:txPr>
    <a:bodyPr rot="0" anchor="t"/>
    <a:lstStyle/>
    <a:p>
      <a:pPr>
        <a:defRPr lang="es-mx" sz="1000" b="0" i="0" u="none" strike="noStrike" kern="100">
          <a:solidFill>
            <a:srgbClr val="000000"/>
          </a:solidFill>
          <a:latin typeface="Calibri" charset="0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15"/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mx" sz="1400" b="1" i="0" u="none" strike="noStrike">
                <a:solidFill>
                  <a:srgbClr val="000000"/>
                </a:solidFill>
                <a:latin typeface="Arial"/>
              </a:defRPr>
            </a:pPr>
            <a:r>
              <a:rPr lang="es-AR"/>
              <a:t>THD Board_1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0.14849999999999999"/>
          <c:y val="0.15625"/>
          <c:w val="0.76600000000000001"/>
          <c:h val="0.69699999999999995"/>
        </c:manualLayout>
      </c:layout>
      <c:scatterChart>
        <c:scatterStyle val="smoothMarker"/>
        <c:varyColors val="0"/>
        <c:ser>
          <c:idx val="0"/>
          <c:order val="0"/>
          <c:tx>
            <c:v>INPUT</c:v>
          </c:tx>
          <c:xVal>
            <c:numRef>
              <c:f>'THD_13062024_B#1'!$N$3:$N$14</c:f>
              <c:numCache>
                <c:formatCode>0.0</c:formatCode>
                <c:ptCount val="12"/>
                <c:pt idx="0">
                  <c:v>62.5</c:v>
                </c:pt>
                <c:pt idx="1">
                  <c:v>125</c:v>
                </c:pt>
                <c:pt idx="2" formatCode="General">
                  <c:v>250</c:v>
                </c:pt>
                <c:pt idx="3" formatCode="General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 formatCode="0">
                  <c:v>20000</c:v>
                </c:pt>
                <c:pt idx="10">
                  <c:v>50000</c:v>
                </c:pt>
                <c:pt idx="11">
                  <c:v>100000</c:v>
                </c:pt>
              </c:numCache>
            </c:numRef>
          </c:xVal>
          <c:yVal>
            <c:numRef>
              <c:f>'THD_13062024_B#1'!$O$3:$O$14</c:f>
              <c:numCache>
                <c:formatCode>0.000</c:formatCode>
                <c:ptCount val="12"/>
                <c:pt idx="0">
                  <c:v>-150.73823909187104</c:v>
                </c:pt>
                <c:pt idx="1">
                  <c:v>-147.34615383811291</c:v>
                </c:pt>
                <c:pt idx="4">
                  <c:v>-150.83409319283331</c:v>
                </c:pt>
                <c:pt idx="5">
                  <c:v>-147.7235175255372</c:v>
                </c:pt>
                <c:pt idx="6">
                  <c:v>-142.58861933214973</c:v>
                </c:pt>
                <c:pt idx="7">
                  <c:v>-135.28615156757104</c:v>
                </c:pt>
                <c:pt idx="8">
                  <c:v>-130.50810931821422</c:v>
                </c:pt>
                <c:pt idx="9">
                  <c:v>-125.85303347247995</c:v>
                </c:pt>
                <c:pt idx="10">
                  <c:v>-118.11311739844359</c:v>
                </c:pt>
                <c:pt idx="11">
                  <c:v>-109.63359525407634</c:v>
                </c:pt>
              </c:numCache>
            </c:numRef>
          </c:yVal>
          <c:smooth val="1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0-62BF-4B9C-A3E4-730991492180}"/>
            </c:ext>
          </c:extLst>
        </c:ser>
        <c:ser>
          <c:idx val="1"/>
          <c:order val="1"/>
          <c:tx>
            <c:v>OUTPUT</c:v>
          </c:tx>
          <c:xVal>
            <c:numRef>
              <c:f>'THD_13062024_B#1'!$N$3:$N$14</c:f>
              <c:numCache>
                <c:formatCode>0.0</c:formatCode>
                <c:ptCount val="12"/>
                <c:pt idx="0">
                  <c:v>62.5</c:v>
                </c:pt>
                <c:pt idx="1">
                  <c:v>125</c:v>
                </c:pt>
                <c:pt idx="2" formatCode="General">
                  <c:v>250</c:v>
                </c:pt>
                <c:pt idx="3" formatCode="General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 formatCode="0">
                  <c:v>20000</c:v>
                </c:pt>
                <c:pt idx="10">
                  <c:v>50000</c:v>
                </c:pt>
                <c:pt idx="11">
                  <c:v>100000</c:v>
                </c:pt>
              </c:numCache>
            </c:numRef>
          </c:xVal>
          <c:yVal>
            <c:numRef>
              <c:f>'THD_13062024_B#1'!$P$3:$P$14</c:f>
              <c:numCache>
                <c:formatCode>0.000</c:formatCode>
                <c:ptCount val="12"/>
                <c:pt idx="0">
                  <c:v>-148.22386449604772</c:v>
                </c:pt>
                <c:pt idx="1">
                  <c:v>-144.22825059880785</c:v>
                </c:pt>
                <c:pt idx="4">
                  <c:v>-137.53091675107942</c:v>
                </c:pt>
                <c:pt idx="5">
                  <c:v>-134.12925654041803</c:v>
                </c:pt>
                <c:pt idx="6">
                  <c:v>-127.29534816785203</c:v>
                </c:pt>
                <c:pt idx="7">
                  <c:v>-115.4861752048263</c:v>
                </c:pt>
                <c:pt idx="8">
                  <c:v>-103.88207512249218</c:v>
                </c:pt>
                <c:pt idx="9">
                  <c:v>-92.428525690245834</c:v>
                </c:pt>
                <c:pt idx="10">
                  <c:v>-76.487753427260813</c:v>
                </c:pt>
                <c:pt idx="11">
                  <c:v>-45.135344868475457</c:v>
                </c:pt>
              </c:numCache>
            </c:numRef>
          </c:yVal>
          <c:smooth val="1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  <c:ext xmlns:c16="http://schemas.microsoft.com/office/drawing/2014/chart" uri="{C3380CC4-5D6E-409C-BE32-E72D297353CC}">
              <c16:uniqueId val="{00000001-62BF-4B9C-A3E4-730991492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1"/>
      </c:scatterChart>
      <c:valAx>
        <c:axId val="10"/>
        <c:scaling>
          <c:logBase val="10"/>
          <c:orientation val="minMax"/>
          <c:min val="10"/>
        </c:scaling>
        <c:delete val="0"/>
        <c:axPos val="b"/>
        <c:majorGridlines/>
        <c:minorGridlines>
          <c:spPr>
            <a:ln>
              <a:solidFill>
                <a:srgbClr val="999999"/>
              </a:solidFill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lang="es-mx" sz="1100" b="1" i="0" u="none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3924999999999997"/>
              <c:y val="0.92300000000000004"/>
              <c:w val="0.18"/>
              <c:h val="5.7000000000000002E-2"/>
            </c:manualLayout>
          </c:layout>
          <c:overlay val="0"/>
          <c:spPr>
            <a:noFill/>
            <a:ln>
              <a:noFill/>
            </a:ln>
          </c:spPr>
        </c:title>
        <c:numFmt formatCode="0" sourceLinked="0"/>
        <c:majorTickMark val="cross"/>
        <c:minorTickMark val="cross"/>
        <c:tickLblPos val="nextTo"/>
        <c:txPr>
          <a:bodyPr/>
          <a:lstStyle/>
          <a:p>
            <a:pPr>
              <a:defRPr lang="es-mx" sz="1100" b="0" i="0" u="none" strike="noStrike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11"/>
        <c:crossesAt val="-160"/>
        <c:crossBetween val="midCat"/>
      </c:valAx>
      <c:valAx>
        <c:axId val="11"/>
        <c:scaling>
          <c:orientation val="minMax"/>
          <c:max val="-40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lang="es-mx" sz="1100" b="1" i="0" u="none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lang="es-AR"/>
                  <a:t>THD (dB)</a:t>
                </a:r>
              </a:p>
            </c:rich>
          </c:tx>
          <c:layout>
            <c:manualLayout>
              <c:xMode val="edge"/>
              <c:yMode val="edge"/>
              <c:x val="1.125E-2"/>
              <c:y val="0.41849999999999998"/>
              <c:w val="5.425E-2"/>
              <c:h val="0.15975"/>
            </c:manualLayout>
          </c:layout>
          <c:overlay val="0"/>
          <c:spPr>
            <a:noFill/>
            <a:ln>
              <a:noFill/>
            </a:ln>
          </c:spPr>
        </c:title>
        <c:numFmt formatCode="0.00" sourceLinked="0"/>
        <c:majorTickMark val="cross"/>
        <c:minorTickMark val="none"/>
        <c:tickLblPos val="nextTo"/>
        <c:txPr>
          <a:bodyPr/>
          <a:lstStyle/>
          <a:p>
            <a:pPr>
              <a:defRPr lang="es-mx" sz="1000" b="0" i="0" u="none" strike="noStrike">
                <a:solidFill>
                  <a:srgbClr val="000000"/>
                </a:solidFill>
                <a:latin typeface="Arial"/>
              </a:defRPr>
            </a:pPr>
            <a:endParaRPr lang="es-AR"/>
          </a:p>
        </c:txPr>
        <c:crossAx val="10"/>
        <c:crosses val="autoZero"/>
        <c:crossBetween val="midCat"/>
      </c:valAx>
    </c:plotArea>
    <c:legend>
      <c:legendPos val="t"/>
      <c:overlay val="0"/>
      <c:txPr>
        <a:bodyPr numCol="2" anchor="t"/>
        <a:lstStyle/>
        <a:p>
          <a:pPr>
            <a:defRPr lang="es-mx" sz="1100" b="0" i="0" u="none" strike="noStrike">
              <a:solidFill>
                <a:srgbClr val="000000"/>
              </a:solidFill>
              <a:latin typeface="Arial"/>
            </a:defRPr>
          </a:pPr>
          <a:endParaRPr lang="es-AR"/>
        </a:p>
      </c:txPr>
    </c:legend>
    <c:plotVisOnly val="1"/>
    <c:dispBlanksAs val="gap"/>
    <c:showDLblsOverMax val="0"/>
  </c:chart>
  <c:txPr>
    <a:bodyPr rot="0" anchor="ctr" anchorCtr="1"/>
    <a:lstStyle/>
    <a:p>
      <a:pPr>
        <a:defRPr lang="es-mx" sz="2090" b="0" i="0" u="none" strike="noStrike">
          <a:solidFill>
            <a:srgbClr val="000000"/>
          </a:solidFill>
          <a:latin typeface="Arial"/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sm="smo" uri="smo">
      <sm:colorScheme xmlns:sm="smo" id="1718658177" val="7"/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COPA V1 COPA V2 THD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'THD_13062024_B#1'!$P$1</c:f>
              <c:strCache>
                <c:ptCount val="1"/>
                <c:pt idx="0">
                  <c:v>COPA 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'THD_13062024_B#1'!$N$3:$N$14</c:f>
              <c:numCache>
                <c:formatCode>0.0</c:formatCode>
                <c:ptCount val="12"/>
                <c:pt idx="0">
                  <c:v>62.5</c:v>
                </c:pt>
                <c:pt idx="1">
                  <c:v>125</c:v>
                </c:pt>
                <c:pt idx="2" formatCode="General">
                  <c:v>250</c:v>
                </c:pt>
                <c:pt idx="3" formatCode="General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 formatCode="0">
                  <c:v>20000</c:v>
                </c:pt>
                <c:pt idx="10">
                  <c:v>50000</c:v>
                </c:pt>
                <c:pt idx="11">
                  <c:v>100000</c:v>
                </c:pt>
              </c:numCache>
            </c:numRef>
          </c:xVal>
          <c:yVal>
            <c:numRef>
              <c:f>'THD_13062024_B#1'!$P$3:$P$14</c:f>
              <c:numCache>
                <c:formatCode>0.000</c:formatCode>
                <c:ptCount val="12"/>
                <c:pt idx="0">
                  <c:v>-148.22386449604772</c:v>
                </c:pt>
                <c:pt idx="1">
                  <c:v>-144.22825059880785</c:v>
                </c:pt>
                <c:pt idx="4">
                  <c:v>-137.53091675107942</c:v>
                </c:pt>
                <c:pt idx="5">
                  <c:v>-134.12925654041803</c:v>
                </c:pt>
                <c:pt idx="6">
                  <c:v>-127.29534816785203</c:v>
                </c:pt>
                <c:pt idx="7">
                  <c:v>-115.4861752048263</c:v>
                </c:pt>
                <c:pt idx="8">
                  <c:v>-103.88207512249218</c:v>
                </c:pt>
                <c:pt idx="9">
                  <c:v>-92.428525690245834</c:v>
                </c:pt>
                <c:pt idx="10">
                  <c:v>-76.487753427260813</c:v>
                </c:pt>
                <c:pt idx="11">
                  <c:v>-45.135344868475457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C-4C0D-BC61-5EE6270EDCCC}"/>
            </c:ext>
          </c:extLst>
        </c:ser>
        <c:ser>
          <c:idx val="1"/>
          <c:order val="1"/>
          <c:tx>
            <c:strRef>
              <c:f>'THD_13062024_B#1'!$Q$1</c:f>
              <c:strCache>
                <c:ptCount val="1"/>
                <c:pt idx="0">
                  <c:v>COPA V2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'THD_13062024_B#1'!$N$3:$N$15</c:f>
              <c:numCache>
                <c:formatCode>0.0</c:formatCode>
                <c:ptCount val="13"/>
                <c:pt idx="0">
                  <c:v>62.5</c:v>
                </c:pt>
                <c:pt idx="1">
                  <c:v>125</c:v>
                </c:pt>
                <c:pt idx="2" formatCode="General">
                  <c:v>250</c:v>
                </c:pt>
                <c:pt idx="3" formatCode="General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  <c:pt idx="9" formatCode="0">
                  <c:v>20000</c:v>
                </c:pt>
                <c:pt idx="10">
                  <c:v>50000</c:v>
                </c:pt>
                <c:pt idx="11">
                  <c:v>100000</c:v>
                </c:pt>
                <c:pt idx="12">
                  <c:v>200000</c:v>
                </c:pt>
              </c:numCache>
            </c:numRef>
          </c:xVal>
          <c:yVal>
            <c:numRef>
              <c:f>'THD_13062024_B#1'!$Q$3:$Q$15</c:f>
              <c:numCache>
                <c:formatCode>0.000</c:formatCode>
                <c:ptCount val="13"/>
                <c:pt idx="0">
                  <c:v>-141.43726322725411</c:v>
                </c:pt>
                <c:pt idx="1">
                  <c:v>-140.83444501081323</c:v>
                </c:pt>
                <c:pt idx="2">
                  <c:v>-146.38574108635882</c:v>
                </c:pt>
                <c:pt idx="3">
                  <c:v>-144.11270536057842</c:v>
                </c:pt>
                <c:pt idx="4">
                  <c:v>-134.78222806390801</c:v>
                </c:pt>
                <c:pt idx="5">
                  <c:v>-136.00100203069411</c:v>
                </c:pt>
                <c:pt idx="6">
                  <c:v>-126.32781739813586</c:v>
                </c:pt>
                <c:pt idx="7">
                  <c:v>-117.72510386734149</c:v>
                </c:pt>
                <c:pt idx="8">
                  <c:v>-108.85295444873699</c:v>
                </c:pt>
                <c:pt idx="9">
                  <c:v>-98.741233191181394</c:v>
                </c:pt>
                <c:pt idx="11">
                  <c:v>-77.514691595101525</c:v>
                </c:pt>
                <c:pt idx="12">
                  <c:v>-69.374418715107481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8C-4C0D-BC61-5EE6270ED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276207"/>
        <c:axId val="970254127"/>
      </c:scatterChart>
      <c:valAx>
        <c:axId val="970276207"/>
        <c:scaling>
          <c:logBase val="10"/>
          <c:orientation val="minMax"/>
          <c:max val="25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254127"/>
        <c:crossesAt val="-160"/>
        <c:crossBetween val="midCat"/>
      </c:valAx>
      <c:valAx>
        <c:axId val="970254127"/>
        <c:scaling>
          <c:orientation val="minMax"/>
          <c:max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7027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COPA V1 &amp; V2</a:t>
            </a:r>
            <a:r>
              <a:rPr lang="es-AR" sz="1200" baseline="0"/>
              <a:t> THD</a:t>
            </a:r>
            <a:endParaRPr lang="es-A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912032993373744"/>
          <c:y val="0.16019417475728157"/>
          <c:w val="0.75643482429583708"/>
          <c:h val="0.686156713728634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'V1 &amp; V2 Comparison'!$E$1</c:f>
              <c:strCache>
                <c:ptCount val="1"/>
                <c:pt idx="0">
                  <c:v>COPA V1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'V1 &amp; V2 Comparison'!$D$3:$D$11</c:f>
              <c:numCache>
                <c:formatCode>General</c:formatCode>
                <c:ptCount val="9"/>
                <c:pt idx="0">
                  <c:v>62.5</c:v>
                </c:pt>
                <c:pt idx="1">
                  <c:v>125</c:v>
                </c:pt>
                <c:pt idx="2">
                  <c:v>250</c:v>
                </c:pt>
                <c:pt idx="3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</c:numCache>
            </c:numRef>
          </c:xVal>
          <c:yVal>
            <c:numRef>
              <c:f>'V1 &amp; V2 Comparison'!$E$3:$E$11</c:f>
              <c:numCache>
                <c:formatCode>0.00</c:formatCode>
                <c:ptCount val="9"/>
                <c:pt idx="0">
                  <c:v>-148.22386449604772</c:v>
                </c:pt>
                <c:pt idx="1">
                  <c:v>-144.22825059880785</c:v>
                </c:pt>
                <c:pt idx="4">
                  <c:v>-137.53091675107942</c:v>
                </c:pt>
                <c:pt idx="5">
                  <c:v>-134.12925654041803</c:v>
                </c:pt>
                <c:pt idx="6">
                  <c:v>-127.29534816785203</c:v>
                </c:pt>
                <c:pt idx="7">
                  <c:v>-115.4861752048263</c:v>
                </c:pt>
                <c:pt idx="8">
                  <c:v>-103.88207512249218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40-4080-93F9-3A9CF8EB71DC}"/>
            </c:ext>
          </c:extLst>
        </c:ser>
        <c:ser>
          <c:idx val="1"/>
          <c:order val="1"/>
          <c:tx>
            <c:strRef>
              <c:f>'V1 &amp; V2 Comparison'!$F$1</c:f>
              <c:strCache>
                <c:ptCount val="1"/>
                <c:pt idx="0">
                  <c:v>COPA V2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'V1 &amp; V2 Comparison'!$D$3:$D$11</c:f>
              <c:numCache>
                <c:formatCode>General</c:formatCode>
                <c:ptCount val="9"/>
                <c:pt idx="0">
                  <c:v>62.5</c:v>
                </c:pt>
                <c:pt idx="1">
                  <c:v>125</c:v>
                </c:pt>
                <c:pt idx="2">
                  <c:v>250</c:v>
                </c:pt>
                <c:pt idx="3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</c:numCache>
            </c:numRef>
          </c:xVal>
          <c:yVal>
            <c:numRef>
              <c:f>'V1 &amp; V2 Comparison'!$F$3:$F$11</c:f>
              <c:numCache>
                <c:formatCode>0.00</c:formatCode>
                <c:ptCount val="9"/>
                <c:pt idx="0">
                  <c:v>-141.43726322725411</c:v>
                </c:pt>
                <c:pt idx="1">
                  <c:v>-140.83444501081323</c:v>
                </c:pt>
                <c:pt idx="2">
                  <c:v>-146.38574108635882</c:v>
                </c:pt>
                <c:pt idx="3">
                  <c:v>-144.11270536057842</c:v>
                </c:pt>
                <c:pt idx="4">
                  <c:v>-134.78222806390801</c:v>
                </c:pt>
                <c:pt idx="5">
                  <c:v>-136.00100203069411</c:v>
                </c:pt>
                <c:pt idx="6">
                  <c:v>-126.32781739813586</c:v>
                </c:pt>
                <c:pt idx="7">
                  <c:v>-117.72510386734149</c:v>
                </c:pt>
                <c:pt idx="8">
                  <c:v>-108.85295444873699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40-4080-93F9-3A9CF8EB7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3808"/>
        <c:axId val="205523328"/>
      </c:scatterChart>
      <c:valAx>
        <c:axId val="205523808"/>
        <c:scaling>
          <c:logBase val="10"/>
          <c:orientation val="minMax"/>
          <c:max val="1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freq.</a:t>
                </a:r>
                <a:r>
                  <a:rPr lang="es-AR" baseline="0"/>
                  <a:t> (Hz)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5523328"/>
        <c:crossesAt val="-160"/>
        <c:crossBetween val="midCat"/>
      </c:valAx>
      <c:valAx>
        <c:axId val="205523328"/>
        <c:scaling>
          <c:orientation val="minMax"/>
          <c:max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THD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5523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022200349956249"/>
          <c:y val="0.24086843513492853"/>
          <c:w val="0.17325570959176392"/>
          <c:h val="0.14236098540845404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/>
              <a:t>V1-V2 THD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'V1 &amp; V2 Comparison'!$D$3:$D$11</c:f>
              <c:numCache>
                <c:formatCode>General</c:formatCode>
                <c:ptCount val="9"/>
                <c:pt idx="0">
                  <c:v>62.5</c:v>
                </c:pt>
                <c:pt idx="1">
                  <c:v>125</c:v>
                </c:pt>
                <c:pt idx="2">
                  <c:v>250</c:v>
                </c:pt>
                <c:pt idx="3">
                  <c:v>250</c:v>
                </c:pt>
                <c:pt idx="4">
                  <c:v>625</c:v>
                </c:pt>
                <c:pt idx="5">
                  <c:v>1000</c:v>
                </c:pt>
                <c:pt idx="6">
                  <c:v>2000</c:v>
                </c:pt>
                <c:pt idx="7">
                  <c:v>5000</c:v>
                </c:pt>
                <c:pt idx="8">
                  <c:v>10000</c:v>
                </c:pt>
              </c:numCache>
            </c:numRef>
          </c:xVal>
          <c:yVal>
            <c:numRef>
              <c:f>'V1 &amp; V2 Comparison'!$G$3:$G$11</c:f>
              <c:numCache>
                <c:formatCode>0.00</c:formatCode>
                <c:ptCount val="9"/>
                <c:pt idx="0">
                  <c:v>-6.7866012687936177</c:v>
                </c:pt>
                <c:pt idx="1">
                  <c:v>-3.3938055879946205</c:v>
                </c:pt>
                <c:pt idx="4">
                  <c:v>-2.7486886871714091</c:v>
                </c:pt>
                <c:pt idx="5">
                  <c:v>1.8717454902760835</c:v>
                </c:pt>
                <c:pt idx="6">
                  <c:v>-0.96753076971616281</c:v>
                </c:pt>
                <c:pt idx="7">
                  <c:v>2.2389286625151925</c:v>
                </c:pt>
                <c:pt idx="8">
                  <c:v>4.9708793262448125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26-40F2-BC9D-FDF52417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086112"/>
        <c:axId val="319083712"/>
      </c:scatterChart>
      <c:valAx>
        <c:axId val="319086112"/>
        <c:scaling>
          <c:logBase val="10"/>
          <c:orientation val="minMax"/>
          <c:max val="10000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freq.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9083712"/>
        <c:crossesAt val="-8"/>
        <c:crossBetween val="midCat"/>
      </c:valAx>
      <c:valAx>
        <c:axId val="3190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Diff.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1908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428625</xdr:colOff>
      <xdr:row>25</xdr:row>
      <xdr:rowOff>133350</xdr:rowOff>
    </xdr:from>
    <xdr:to>
      <xdr:col>20</xdr:col>
      <xdr:colOff>314325</xdr:colOff>
      <xdr:row>47</xdr:row>
      <xdr:rowOff>180975</xdr:rowOff>
    </xdr:to>
    <xdr:graphicFrame macro="">
      <xdr:nvGraphicFramePr>
        <xdr:cNvPr id="3" name="Chart 89960357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2</xdr:row>
      <xdr:rowOff>76200</xdr:rowOff>
    </xdr:from>
    <xdr:to>
      <xdr:col>20</xdr:col>
      <xdr:colOff>266700</xdr:colOff>
      <xdr:row>24</xdr:row>
      <xdr:rowOff>123825</xdr:rowOff>
    </xdr:to>
    <xdr:graphicFrame macro="">
      <xdr:nvGraphicFramePr>
        <xdr:cNvPr id="2" name="Chart 712281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800100</xdr:colOff>
      <xdr:row>6</xdr:row>
      <xdr:rowOff>38100</xdr:rowOff>
    </xdr:from>
    <xdr:to>
      <xdr:col>13</xdr:col>
      <xdr:colOff>361950</xdr:colOff>
      <xdr:row>32</xdr:row>
      <xdr:rowOff>161925</xdr:rowOff>
    </xdr:to>
    <xdr:graphicFrame macro="">
      <xdr:nvGraphicFramePr>
        <xdr:cNvPr id="3" name="Chart 1104962858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100330</xdr:colOff>
      <xdr:row>34</xdr:row>
      <xdr:rowOff>19050</xdr:rowOff>
    </xdr:from>
    <xdr:to>
      <xdr:col>13</xdr:col>
      <xdr:colOff>133350</xdr:colOff>
      <xdr:row>55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753110</xdr:colOff>
      <xdr:row>15</xdr:row>
      <xdr:rowOff>175895</xdr:rowOff>
    </xdr:from>
    <xdr:to>
      <xdr:col>19</xdr:col>
      <xdr:colOff>66675</xdr:colOff>
      <xdr:row>37</xdr:row>
      <xdr:rowOff>152400</xdr:rowOff>
    </xdr:to>
    <xdr:graphicFrame macro="">
      <xdr:nvGraphicFramePr>
        <xdr:cNvPr id="2" name="Chart 3400530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485775</xdr:colOff>
      <xdr:row>38</xdr:row>
      <xdr:rowOff>142875</xdr:rowOff>
    </xdr:from>
    <xdr:to>
      <xdr:col>33</xdr:col>
      <xdr:colOff>323850</xdr:colOff>
      <xdr:row>62</xdr:row>
      <xdr:rowOff>118745</xdr:rowOff>
    </xdr:to>
    <xdr:graphicFrame macro="">
      <xdr:nvGraphicFramePr>
        <xdr:cNvPr id="4" name="Chart 186102845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609600</xdr:colOff>
      <xdr:row>2</xdr:row>
      <xdr:rowOff>61595</xdr:rowOff>
    </xdr:from>
    <xdr:to>
      <xdr:col>33</xdr:col>
      <xdr:colOff>323850</xdr:colOff>
      <xdr:row>20</xdr:row>
      <xdr:rowOff>104775</xdr:rowOff>
    </xdr:to>
    <xdr:graphicFrame macro="">
      <xdr:nvGraphicFramePr>
        <xdr:cNvPr id="3" name="Chart 7768405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609600</xdr:colOff>
      <xdr:row>20</xdr:row>
      <xdr:rowOff>166370</xdr:rowOff>
    </xdr:from>
    <xdr:to>
      <xdr:col>33</xdr:col>
      <xdr:colOff>323850</xdr:colOff>
      <xdr:row>38</xdr:row>
      <xdr:rowOff>76200</xdr:rowOff>
    </xdr:to>
    <xdr:graphicFrame macro="">
      <xdr:nvGraphicFramePr>
        <xdr:cNvPr id="2" name="Chart 17221366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133350</xdr:colOff>
      <xdr:row>29</xdr:row>
      <xdr:rowOff>161925</xdr:rowOff>
    </xdr:from>
    <xdr:to>
      <xdr:col>29</xdr:col>
      <xdr:colOff>476250</xdr:colOff>
      <xdr:row>53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590550</xdr:colOff>
      <xdr:row>4</xdr:row>
      <xdr:rowOff>161925</xdr:rowOff>
    </xdr:from>
    <xdr:to>
      <xdr:col>22</xdr:col>
      <xdr:colOff>247650</xdr:colOff>
      <xdr:row>27</xdr:row>
      <xdr:rowOff>4445</xdr:rowOff>
    </xdr:to>
    <xdr:graphicFrame macro="">
      <xdr:nvGraphicFramePr>
        <xdr:cNvPr id="2" name="Chart 1642240129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16</xdr:row>
      <xdr:rowOff>152400</xdr:rowOff>
    </xdr:from>
    <xdr:to>
      <xdr:col>20</xdr:col>
      <xdr:colOff>461645</xdr:colOff>
      <xdr:row>34</xdr:row>
      <xdr:rowOff>13970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583565</xdr:colOff>
      <xdr:row>17</xdr:row>
      <xdr:rowOff>93345</xdr:rowOff>
    </xdr:from>
    <xdr:to>
      <xdr:col>7</xdr:col>
      <xdr:colOff>926465</xdr:colOff>
      <xdr:row>39</xdr:row>
      <xdr:rowOff>123825</xdr:rowOff>
    </xdr:to>
    <xdr:graphicFrame macro="">
      <xdr:nvGraphicFramePr>
        <xdr:cNvPr id="2" name="THD Board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32384</xdr:colOff>
      <xdr:row>16</xdr:row>
      <xdr:rowOff>91439</xdr:rowOff>
    </xdr:from>
    <xdr:to>
      <xdr:col>17</xdr:col>
      <xdr:colOff>504825</xdr:colOff>
      <xdr:row>33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E49ABD-D3BC-BE0F-2D48-50BA03D1A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16192</xdr:rowOff>
    </xdr:from>
    <xdr:to>
      <xdr:col>14</xdr:col>
      <xdr:colOff>95250</xdr:colOff>
      <xdr:row>15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1124CB-FEC0-8CFB-214F-C365E9096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301942</xdr:colOff>
      <xdr:row>17</xdr:row>
      <xdr:rowOff>56197</xdr:rowOff>
    </xdr:from>
    <xdr:to>
      <xdr:col>14</xdr:col>
      <xdr:colOff>136207</xdr:colOff>
      <xdr:row>32</xdr:row>
      <xdr:rowOff>82867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5138EF8-5315-3C88-BE68-FF68A1564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workbookViewId="0"/>
  </sheetViews>
  <sheetFormatPr baseColWidth="10" defaultColWidth="8.88671875" defaultRowHeight="14.4" x14ac:dyDescent="0.3"/>
  <cols>
    <col min="1" max="2" width="18.33203125" customWidth="1"/>
    <col min="3" max="5" width="19.88671875" customWidth="1"/>
    <col min="6" max="8" width="10.44140625" customWidth="1"/>
    <col min="11" max="11" width="11.109375" customWidth="1"/>
  </cols>
  <sheetData>
    <row r="1" spans="1:12" x14ac:dyDescent="0.3">
      <c r="F1" s="102" t="s">
        <v>0</v>
      </c>
      <c r="G1" s="102"/>
      <c r="H1" s="102" t="s">
        <v>1</v>
      </c>
      <c r="I1" s="102"/>
    </row>
    <row r="2" spans="1:12" ht="43.2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1" t="s">
        <v>8</v>
      </c>
      <c r="K2" s="2"/>
      <c r="L2" s="1"/>
    </row>
    <row r="3" spans="1:12" x14ac:dyDescent="0.3">
      <c r="A3" s="3">
        <v>1000.153846</v>
      </c>
      <c r="B3" s="4">
        <f t="shared" ref="B3:B11" si="0">A3/$A$3</f>
        <v>1</v>
      </c>
      <c r="C3" s="5">
        <v>16.791148</v>
      </c>
      <c r="D3" s="6">
        <v>0</v>
      </c>
      <c r="E3" s="7">
        <v>16.792997</v>
      </c>
      <c r="F3" s="7">
        <f t="shared" ref="F3:F34" si="1">10^(E3/20)</f>
        <v>6.9127340687906047</v>
      </c>
      <c r="G3" s="4"/>
      <c r="H3" s="7">
        <f t="shared" ref="H3:H34" si="2">10^(D3/20)</f>
        <v>1</v>
      </c>
      <c r="I3" s="4"/>
      <c r="K3" s="8"/>
    </row>
    <row r="4" spans="1:12" x14ac:dyDescent="0.3">
      <c r="A4" s="3">
        <v>2000.1538459999999</v>
      </c>
      <c r="B4" s="3">
        <f t="shared" si="0"/>
        <v>1.9998461776649508</v>
      </c>
      <c r="C4" s="5">
        <v>-112.95610600000001</v>
      </c>
      <c r="D4" s="7">
        <v>-129.747254</v>
      </c>
      <c r="E4" s="7">
        <v>-135.648517</v>
      </c>
      <c r="F4" s="7">
        <f t="shared" si="1"/>
        <v>1.6503427513168987E-7</v>
      </c>
      <c r="G4" s="4"/>
      <c r="H4" s="7">
        <f t="shared" si="2"/>
        <v>3.2556469285814998E-7</v>
      </c>
      <c r="I4" s="4"/>
      <c r="K4" s="8"/>
    </row>
    <row r="5" spans="1:12" x14ac:dyDescent="0.3">
      <c r="A5" s="3">
        <v>3000.3076919999999</v>
      </c>
      <c r="B5" s="3">
        <f t="shared" si="0"/>
        <v>2.9998461776649505</v>
      </c>
      <c r="C5" s="5">
        <v>-107.558851</v>
      </c>
      <c r="D5" s="7">
        <v>-124.34999800000001</v>
      </c>
      <c r="E5" s="7">
        <v>-133.05863400000001</v>
      </c>
      <c r="F5" s="7">
        <f t="shared" si="1"/>
        <v>2.2236595704495796E-7</v>
      </c>
      <c r="G5" s="4"/>
      <c r="H5" s="7">
        <f t="shared" si="2"/>
        <v>6.0603834007253329E-7</v>
      </c>
      <c r="I5" s="4"/>
      <c r="K5" s="8"/>
    </row>
    <row r="6" spans="1:12" x14ac:dyDescent="0.3">
      <c r="A6" s="3">
        <v>4000.461538</v>
      </c>
      <c r="B6" s="3">
        <f t="shared" si="0"/>
        <v>3.999846177664951</v>
      </c>
      <c r="C6" s="5">
        <v>-130.76248200000001</v>
      </c>
      <c r="D6" s="7">
        <v>-147.553629</v>
      </c>
      <c r="E6" s="7">
        <v>-141.07451399999999</v>
      </c>
      <c r="F6" s="7">
        <f t="shared" si="1"/>
        <v>8.8363782905601808E-8</v>
      </c>
      <c r="G6" s="9">
        <f>20*LOG10(SQRT(SUMSQ(F4:F11))/F3)</f>
        <v>-147.11768940165899</v>
      </c>
      <c r="H6" s="7">
        <f t="shared" si="2"/>
        <v>4.1910085805814326E-8</v>
      </c>
      <c r="I6" s="10">
        <f>20*LOG10(SQRT(SUMSQ(H4:H11))/H3)</f>
        <v>-123.10504198082157</v>
      </c>
      <c r="K6" s="8"/>
    </row>
    <row r="7" spans="1:12" x14ac:dyDescent="0.3">
      <c r="A7" s="3">
        <v>5000.6153850000001</v>
      </c>
      <c r="B7" s="3">
        <f t="shared" si="0"/>
        <v>4.9998461786647974</v>
      </c>
      <c r="C7" s="5">
        <v>-122.188012</v>
      </c>
      <c r="D7" s="5">
        <v>-138.97916000000001</v>
      </c>
      <c r="E7" s="7">
        <v>-147.47415799999996</v>
      </c>
      <c r="F7" s="7">
        <f t="shared" si="1"/>
        <v>4.229529905030822E-8</v>
      </c>
      <c r="G7" s="4"/>
      <c r="H7" s="7">
        <f t="shared" si="2"/>
        <v>1.1247137381692928E-7</v>
      </c>
      <c r="I7" s="4"/>
      <c r="K7" s="8"/>
    </row>
    <row r="8" spans="1:12" x14ac:dyDescent="0.3">
      <c r="A8" s="3">
        <v>6002</v>
      </c>
      <c r="B8" s="3">
        <f t="shared" si="0"/>
        <v>6.0010767583450351</v>
      </c>
      <c r="C8" s="5">
        <v>-148.854356</v>
      </c>
      <c r="D8" s="7">
        <v>-165.64550299999999</v>
      </c>
      <c r="E8" s="7">
        <v>-151.10054299999996</v>
      </c>
      <c r="F8" s="7">
        <f t="shared" si="1"/>
        <v>2.7859469991928956E-8</v>
      </c>
      <c r="G8" s="4"/>
      <c r="H8" s="7">
        <f t="shared" si="2"/>
        <v>5.2206532642967295E-9</v>
      </c>
      <c r="I8" s="4"/>
      <c r="K8" s="8"/>
    </row>
    <row r="9" spans="1:12" x14ac:dyDescent="0.3">
      <c r="A9" s="3">
        <v>7000.7692310000002</v>
      </c>
      <c r="B9" s="3">
        <f t="shared" si="0"/>
        <v>6.9996923563297484</v>
      </c>
      <c r="C9" s="5">
        <v>-131.59574300000003</v>
      </c>
      <c r="D9" s="7">
        <v>-148.38689099999999</v>
      </c>
      <c r="E9" s="7">
        <v>-145.176658</v>
      </c>
      <c r="F9" s="7">
        <f t="shared" si="1"/>
        <v>5.5101966703573632E-8</v>
      </c>
      <c r="G9" s="4"/>
      <c r="H9" s="7">
        <f t="shared" si="2"/>
        <v>3.8076362254530607E-8</v>
      </c>
      <c r="I9" s="4"/>
      <c r="K9" s="8"/>
    </row>
    <row r="10" spans="1:12" x14ac:dyDescent="0.3">
      <c r="A10" s="3">
        <v>8001.0769229999987</v>
      </c>
      <c r="B10" s="3">
        <f t="shared" si="0"/>
        <v>7.9998461786647956</v>
      </c>
      <c r="C10" s="5">
        <v>-148.80827300000001</v>
      </c>
      <c r="D10" s="7">
        <v>-165.59942100000001</v>
      </c>
      <c r="E10" s="5">
        <v>-147.31425999999999</v>
      </c>
      <c r="F10" s="7">
        <f t="shared" si="1"/>
        <v>4.3081121455311578E-8</v>
      </c>
      <c r="G10" s="4"/>
      <c r="H10" s="7">
        <f t="shared" si="2"/>
        <v>5.2484244499631042E-9</v>
      </c>
      <c r="I10" s="4"/>
      <c r="K10" s="8"/>
    </row>
    <row r="11" spans="1:12" x14ac:dyDescent="0.3">
      <c r="A11" s="3">
        <v>9002.6153849999992</v>
      </c>
      <c r="B11" s="3">
        <f t="shared" si="0"/>
        <v>9.0012305816799305</v>
      </c>
      <c r="C11" s="5">
        <v>-149.26056299999999</v>
      </c>
      <c r="D11" s="7">
        <v>-166.05171100000001</v>
      </c>
      <c r="E11" s="7">
        <v>-150.71614299999996</v>
      </c>
      <c r="F11" s="7">
        <f t="shared" si="1"/>
        <v>2.9120099193080499E-8</v>
      </c>
      <c r="G11" s="4"/>
      <c r="H11" s="7">
        <f t="shared" si="2"/>
        <v>4.9821230537742852E-9</v>
      </c>
      <c r="I11" s="4"/>
      <c r="K11" s="8"/>
    </row>
    <row r="12" spans="1:12" x14ac:dyDescent="0.3">
      <c r="A12" s="11">
        <v>10001.538462</v>
      </c>
      <c r="B12">
        <f t="shared" ref="B12:B20" si="3">A12/$A$12</f>
        <v>1</v>
      </c>
      <c r="C12" s="8">
        <v>16.693235999999995</v>
      </c>
      <c r="D12">
        <v>0</v>
      </c>
      <c r="E12" s="8">
        <v>16.706036999999998</v>
      </c>
      <c r="F12" s="8">
        <f t="shared" si="1"/>
        <v>6.8438715525370251</v>
      </c>
      <c r="H12" s="8">
        <f t="shared" si="2"/>
        <v>1</v>
      </c>
    </row>
    <row r="13" spans="1:12" x14ac:dyDescent="0.3">
      <c r="A13" s="11">
        <v>20002.923076999999</v>
      </c>
      <c r="B13" s="12">
        <f t="shared" si="3"/>
        <v>1.9999846176665135</v>
      </c>
      <c r="C13" s="8">
        <v>-87.630937000000003</v>
      </c>
      <c r="D13" s="8">
        <v>-104.324173</v>
      </c>
      <c r="E13" s="8">
        <v>-118.34670300000001</v>
      </c>
      <c r="F13" s="8">
        <f t="shared" si="1"/>
        <v>1.209664261563536E-6</v>
      </c>
      <c r="H13" s="8">
        <f t="shared" si="2"/>
        <v>6.0784290248940021E-6</v>
      </c>
    </row>
    <row r="14" spans="1:12" x14ac:dyDescent="0.3">
      <c r="A14" s="11">
        <v>30004.461538</v>
      </c>
      <c r="B14" s="12">
        <f t="shared" si="3"/>
        <v>2.9999846175665286</v>
      </c>
      <c r="C14" s="8">
        <v>-83.58713299999998</v>
      </c>
      <c r="D14" s="13">
        <v>-100.28037</v>
      </c>
      <c r="E14" s="8">
        <v>-116.80127899999999</v>
      </c>
      <c r="F14" s="8">
        <f t="shared" si="1"/>
        <v>1.4452269449516367E-6</v>
      </c>
      <c r="H14" s="8">
        <f t="shared" si="2"/>
        <v>9.6823661060982384E-6</v>
      </c>
    </row>
    <row r="15" spans="1:12" x14ac:dyDescent="0.3">
      <c r="A15" s="11">
        <v>40005.846153999999</v>
      </c>
      <c r="B15" s="12">
        <f t="shared" si="3"/>
        <v>3.999969235333027</v>
      </c>
      <c r="C15" s="8">
        <v>-114.520842</v>
      </c>
      <c r="D15" s="8">
        <v>-131.214078</v>
      </c>
      <c r="E15" s="14">
        <v>-122.4036</v>
      </c>
      <c r="F15" s="8">
        <f t="shared" si="1"/>
        <v>7.5826323608007389E-7</v>
      </c>
      <c r="G15" s="15">
        <f>20*LOG10(SQRT(SUMSQ(F13:F20))/F12)</f>
        <v>-130.4137478850661</v>
      </c>
      <c r="H15" s="8">
        <f t="shared" si="2"/>
        <v>2.7497682936398094E-7</v>
      </c>
      <c r="I15" s="16">
        <f>20*LOG10(SQRT(SUMSQ(H13:H20))/H12)</f>
        <v>-98.70550085949202</v>
      </c>
    </row>
    <row r="16" spans="1:12" x14ac:dyDescent="0.3">
      <c r="A16" s="11">
        <v>50007.384615000003</v>
      </c>
      <c r="B16" s="12">
        <f t="shared" si="3"/>
        <v>4.9999692352330429</v>
      </c>
      <c r="C16" s="8">
        <v>-98.297646</v>
      </c>
      <c r="D16" s="8">
        <v>-114.990883</v>
      </c>
      <c r="E16" s="8">
        <v>-142.68977100000001</v>
      </c>
      <c r="F16" s="8">
        <f t="shared" si="1"/>
        <v>7.3368805755502998E-8</v>
      </c>
      <c r="H16" s="8">
        <f t="shared" si="2"/>
        <v>1.7801469314632514E-6</v>
      </c>
    </row>
    <row r="17" spans="1:9" x14ac:dyDescent="0.3">
      <c r="A17" s="11">
        <v>60008.923076999999</v>
      </c>
      <c r="B17" s="12">
        <f t="shared" si="3"/>
        <v>5.999969235233042</v>
      </c>
      <c r="C17" s="8">
        <v>-130.01923199999999</v>
      </c>
      <c r="D17" s="8">
        <v>-146.712468</v>
      </c>
      <c r="E17" s="8">
        <v>-132.547032</v>
      </c>
      <c r="F17" s="8">
        <f t="shared" si="1"/>
        <v>2.3585679895205535E-7</v>
      </c>
      <c r="H17" s="8">
        <f t="shared" si="2"/>
        <v>4.6171778122623729E-8</v>
      </c>
    </row>
    <row r="18" spans="1:9" x14ac:dyDescent="0.3">
      <c r="A18" s="11">
        <v>70010.461538000003</v>
      </c>
      <c r="B18" s="12">
        <f t="shared" si="3"/>
        <v>6.999969235133058</v>
      </c>
      <c r="C18" s="8">
        <v>-104.37865900000001</v>
      </c>
      <c r="D18" s="8">
        <v>-121.071895</v>
      </c>
      <c r="E18" s="8">
        <v>-133.60094599999999</v>
      </c>
      <c r="F18" s="8">
        <f t="shared" si="1"/>
        <v>2.0890685932505321E-7</v>
      </c>
      <c r="H18" s="8">
        <f t="shared" si="2"/>
        <v>8.8390430681544399E-7</v>
      </c>
    </row>
    <row r="19" spans="1:9" x14ac:dyDescent="0.3">
      <c r="A19" s="11">
        <v>80012.153846000001</v>
      </c>
      <c r="B19" s="12">
        <f t="shared" si="3"/>
        <v>7.9999846173665592</v>
      </c>
      <c r="C19" s="8">
        <v>-138.183494</v>
      </c>
      <c r="D19" s="13">
        <v>-154.87673000000001</v>
      </c>
      <c r="E19" s="8">
        <v>-136.236076</v>
      </c>
      <c r="F19" s="8">
        <f t="shared" si="1"/>
        <v>1.5423970999883858E-7</v>
      </c>
      <c r="H19" s="8">
        <f t="shared" si="2"/>
        <v>1.8036966555377574E-8</v>
      </c>
    </row>
    <row r="20" spans="1:9" x14ac:dyDescent="0.3">
      <c r="A20" s="11">
        <v>90013.846153999999</v>
      </c>
      <c r="B20" s="12">
        <f t="shared" si="3"/>
        <v>8.9999999996000604</v>
      </c>
      <c r="C20" s="8">
        <v>-130.89638400000001</v>
      </c>
      <c r="D20" s="8">
        <v>-147.58962099999999</v>
      </c>
      <c r="E20" s="8">
        <v>-145.447069</v>
      </c>
      <c r="F20" s="8">
        <f t="shared" si="1"/>
        <v>5.3412948187366831E-8</v>
      </c>
      <c r="H20" s="8">
        <f t="shared" si="2"/>
        <v>4.1736780948979121E-8</v>
      </c>
    </row>
    <row r="21" spans="1:9" x14ac:dyDescent="0.3">
      <c r="A21" s="17">
        <v>125.07692299999999</v>
      </c>
      <c r="B21" s="4">
        <f t="shared" ref="B21:B29" si="4">A21/$A$21</f>
        <v>1</v>
      </c>
      <c r="C21" s="5">
        <v>16.750509999999998</v>
      </c>
      <c r="D21" s="4">
        <v>0</v>
      </c>
      <c r="E21" s="7">
        <v>16.752817</v>
      </c>
      <c r="F21" s="7">
        <f t="shared" si="1"/>
        <v>6.8808303460306819</v>
      </c>
      <c r="G21" s="4"/>
      <c r="H21" s="7">
        <f t="shared" si="2"/>
        <v>1</v>
      </c>
      <c r="I21" s="4"/>
    </row>
    <row r="22" spans="1:9" x14ac:dyDescent="0.3">
      <c r="A22" s="3">
        <v>250</v>
      </c>
      <c r="B22" s="3">
        <f t="shared" si="4"/>
        <v>1.998769988929133</v>
      </c>
      <c r="C22" s="7">
        <v>-125.843062</v>
      </c>
      <c r="D22" s="7">
        <v>-142.59357199999999</v>
      </c>
      <c r="E22" s="7">
        <v>-131.14145099999999</v>
      </c>
      <c r="F22" s="7">
        <f t="shared" si="1"/>
        <v>2.7728568531553135E-7</v>
      </c>
      <c r="G22" s="4"/>
      <c r="H22" s="7">
        <f t="shared" si="2"/>
        <v>7.4185905162300578E-8</v>
      </c>
      <c r="I22" s="4"/>
    </row>
    <row r="23" spans="1:9" x14ac:dyDescent="0.3">
      <c r="A23" s="17">
        <v>374.92307699999998</v>
      </c>
      <c r="B23" s="3">
        <f t="shared" si="4"/>
        <v>2.9975399778582656</v>
      </c>
      <c r="C23" s="5">
        <v>-125.11033</v>
      </c>
      <c r="D23" s="5">
        <v>-141.86084</v>
      </c>
      <c r="E23" s="7">
        <v>-140.09056100000001</v>
      </c>
      <c r="F23" s="7">
        <f t="shared" si="1"/>
        <v>9.8962794419833605E-8</v>
      </c>
      <c r="G23" s="4"/>
      <c r="H23" s="7">
        <f t="shared" si="2"/>
        <v>8.0715696747498478E-8</v>
      </c>
      <c r="I23" s="4"/>
    </row>
    <row r="24" spans="1:9" x14ac:dyDescent="0.3">
      <c r="A24" s="17">
        <v>499.84615400000001</v>
      </c>
      <c r="B24" s="3">
        <f t="shared" si="4"/>
        <v>3.9963099667873987</v>
      </c>
      <c r="C24" s="5">
        <v>-143.85172</v>
      </c>
      <c r="D24" s="5">
        <v>-160.60222999999999</v>
      </c>
      <c r="E24" s="7">
        <v>-145.06704099999996</v>
      </c>
      <c r="F24" s="7">
        <f t="shared" si="1"/>
        <v>5.5801766822888436E-8</v>
      </c>
      <c r="G24" s="9">
        <f>20*LOG10(SQRT(SUMSQ(F22:F29))/F21)</f>
        <v>-147.0304854282769</v>
      </c>
      <c r="H24" s="7">
        <f t="shared" si="2"/>
        <v>9.3301472948719307E-9</v>
      </c>
      <c r="I24" s="10">
        <f>20*LOG10(SQRT(SUMSQ(H22:H29))/H21)</f>
        <v>-139.13840022390855</v>
      </c>
    </row>
    <row r="25" spans="1:9" x14ac:dyDescent="0.3">
      <c r="A25" s="17">
        <v>624.76923099999999</v>
      </c>
      <c r="B25" s="3">
        <f t="shared" si="4"/>
        <v>4.9950799557165313</v>
      </c>
      <c r="C25" s="7">
        <v>-147.42186899999996</v>
      </c>
      <c r="D25" s="7">
        <v>-164.17237900000001</v>
      </c>
      <c r="E25" s="7">
        <v>-152.201741</v>
      </c>
      <c r="F25" s="7">
        <f t="shared" si="1"/>
        <v>2.4542169430577214E-8</v>
      </c>
      <c r="G25" s="4"/>
      <c r="H25" s="7">
        <f t="shared" si="2"/>
        <v>6.1855888571223472E-9</v>
      </c>
      <c r="I25" s="4"/>
    </row>
    <row r="26" spans="1:9" x14ac:dyDescent="0.3">
      <c r="A26" s="17">
        <v>749.69230800000003</v>
      </c>
      <c r="B26" s="3">
        <f t="shared" si="4"/>
        <v>5.9938499446456648</v>
      </c>
      <c r="C26" s="7">
        <v>-152.613112</v>
      </c>
      <c r="D26" s="7">
        <v>-169.36362199999999</v>
      </c>
      <c r="E26" s="7">
        <v>-149.85941500000001</v>
      </c>
      <c r="F26" s="7">
        <f t="shared" si="1"/>
        <v>3.2138769879395882E-8</v>
      </c>
      <c r="G26" s="4"/>
      <c r="H26" s="7">
        <f t="shared" si="2"/>
        <v>3.4026626970437648E-9</v>
      </c>
      <c r="I26" s="4"/>
    </row>
    <row r="27" spans="1:9" x14ac:dyDescent="0.3">
      <c r="A27" s="17">
        <v>874.61538499999983</v>
      </c>
      <c r="B27" s="3">
        <f t="shared" si="4"/>
        <v>6.9926199335747956</v>
      </c>
      <c r="C27" s="7">
        <v>-152.84104199999996</v>
      </c>
      <c r="D27" s="7">
        <v>-169.59155200000001</v>
      </c>
      <c r="E27" s="7">
        <v>-151.531779</v>
      </c>
      <c r="F27" s="7">
        <f t="shared" si="1"/>
        <v>2.6510080713319006E-8</v>
      </c>
      <c r="G27" s="4"/>
      <c r="H27" s="7">
        <f t="shared" si="2"/>
        <v>3.314533402376401E-9</v>
      </c>
      <c r="I27" s="4"/>
    </row>
    <row r="28" spans="1:9" x14ac:dyDescent="0.3">
      <c r="A28" s="17">
        <v>999.53846199999998</v>
      </c>
      <c r="B28" s="3">
        <f t="shared" si="4"/>
        <v>7.99138992250393</v>
      </c>
      <c r="C28" s="7">
        <v>-151.763912</v>
      </c>
      <c r="D28" s="7">
        <v>-168.514422</v>
      </c>
      <c r="E28" s="5">
        <v>-150.63609</v>
      </c>
      <c r="F28" s="7">
        <f t="shared" si="1"/>
        <v>2.9389723484607363E-8</v>
      </c>
      <c r="G28" s="4"/>
      <c r="H28" s="7">
        <f t="shared" si="2"/>
        <v>3.7521388386390497E-9</v>
      </c>
      <c r="I28" s="4"/>
    </row>
    <row r="29" spans="1:9" x14ac:dyDescent="0.3">
      <c r="A29" s="18">
        <v>1124.461538</v>
      </c>
      <c r="B29" s="3">
        <f t="shared" si="4"/>
        <v>8.9901599034379842</v>
      </c>
      <c r="C29" s="7">
        <v>-151.83219099999999</v>
      </c>
      <c r="D29" s="7">
        <v>-168.58270099999996</v>
      </c>
      <c r="E29" s="7">
        <v>-150.91532900000001</v>
      </c>
      <c r="F29" s="7">
        <f t="shared" si="1"/>
        <v>2.845991181113753E-8</v>
      </c>
      <c r="G29" s="4"/>
      <c r="H29" s="7">
        <f t="shared" si="2"/>
        <v>3.7227592379955553E-9</v>
      </c>
      <c r="I29" s="4"/>
    </row>
    <row r="30" spans="1:9" x14ac:dyDescent="0.3">
      <c r="A30" s="19">
        <v>2000.461538</v>
      </c>
      <c r="B30">
        <f t="shared" ref="B30:B38" si="5">A30/$A$30</f>
        <v>1</v>
      </c>
      <c r="C30" s="8">
        <v>16.705962</v>
      </c>
      <c r="D30">
        <v>0</v>
      </c>
      <c r="E30" s="8">
        <v>16.708107999999999</v>
      </c>
      <c r="F30" s="8">
        <f t="shared" si="1"/>
        <v>6.8455035497695453</v>
      </c>
      <c r="H30" s="8">
        <f t="shared" si="2"/>
        <v>1</v>
      </c>
    </row>
    <row r="31" spans="1:9" x14ac:dyDescent="0.3">
      <c r="A31" s="19">
        <v>4001.0769230000001</v>
      </c>
      <c r="B31" s="12">
        <f t="shared" si="5"/>
        <v>2.0000769057525365</v>
      </c>
      <c r="C31" s="8">
        <v>-108.96592200000001</v>
      </c>
      <c r="D31" s="8">
        <v>-125.67188400000001</v>
      </c>
      <c r="E31" s="8">
        <v>-130.18099900000001</v>
      </c>
      <c r="F31" s="8">
        <f t="shared" si="1"/>
        <v>3.0970630727308213E-7</v>
      </c>
      <c r="H31" s="8">
        <f t="shared" si="2"/>
        <v>5.2048210215921733E-7</v>
      </c>
    </row>
    <row r="32" spans="1:9" x14ac:dyDescent="0.3">
      <c r="A32" s="19">
        <v>6001.5384620000004</v>
      </c>
      <c r="B32" s="12">
        <f t="shared" si="5"/>
        <v>3.0000769062524211</v>
      </c>
      <c r="C32" s="8">
        <v>-100.931956</v>
      </c>
      <c r="D32" s="8">
        <v>-117.63791800000001</v>
      </c>
      <c r="E32" s="8">
        <v>-128.412114</v>
      </c>
      <c r="F32" s="8">
        <f t="shared" si="1"/>
        <v>3.7965952495885227E-7</v>
      </c>
      <c r="H32" s="8">
        <f t="shared" si="2"/>
        <v>1.3125144698644185E-6</v>
      </c>
    </row>
    <row r="33" spans="1:9" x14ac:dyDescent="0.3">
      <c r="A33">
        <v>8002</v>
      </c>
      <c r="B33" s="12">
        <f t="shared" si="5"/>
        <v>4.0000769062524206</v>
      </c>
      <c r="C33" s="8">
        <v>-128.17257499999999</v>
      </c>
      <c r="D33" s="8">
        <v>-144.87853799999999</v>
      </c>
      <c r="E33" s="8">
        <v>-135.811576</v>
      </c>
      <c r="F33" s="8">
        <f t="shared" si="1"/>
        <v>1.6196500919270848E-7</v>
      </c>
      <c r="G33" s="15">
        <f>20*LOG10(SQRT(SUMSQ(F31:F38))/F30)</f>
        <v>-142.19473446245544</v>
      </c>
      <c r="H33" s="8">
        <f t="shared" si="2"/>
        <v>5.702602498211504E-8</v>
      </c>
      <c r="I33" s="16">
        <f>20*LOG10(SQRT(SUMSQ(H31:H38))/H30)</f>
        <v>-116.88399720013443</v>
      </c>
    </row>
    <row r="34" spans="1:9" x14ac:dyDescent="0.3">
      <c r="A34" s="11">
        <v>10002.615384999999</v>
      </c>
      <c r="B34" s="12">
        <f t="shared" si="5"/>
        <v>5.0001538120049567</v>
      </c>
      <c r="C34" s="8">
        <v>-116.552136</v>
      </c>
      <c r="D34" s="8">
        <v>-133.25809799999999</v>
      </c>
      <c r="E34" s="8">
        <v>-148.37545900000001</v>
      </c>
      <c r="F34" s="8">
        <f t="shared" si="1"/>
        <v>3.8126509743344342E-8</v>
      </c>
      <c r="H34" s="8">
        <f t="shared" si="2"/>
        <v>2.1731770000293157E-7</v>
      </c>
    </row>
    <row r="35" spans="1:9" x14ac:dyDescent="0.3">
      <c r="A35" s="11">
        <v>12003.076923000001</v>
      </c>
      <c r="B35" s="12">
        <f t="shared" si="5"/>
        <v>6.0001538120049576</v>
      </c>
      <c r="C35" s="8">
        <v>-146.71815799999996</v>
      </c>
      <c r="D35" s="13">
        <v>-163.42411999999996</v>
      </c>
      <c r="E35" s="8">
        <v>-147.368191</v>
      </c>
      <c r="F35" s="8">
        <f t="shared" ref="F35:F65" si="6">10^(E35/20)</f>
        <v>4.2814457946833637E-8</v>
      </c>
      <c r="H35" s="8">
        <f t="shared" ref="H35:H65" si="7">10^(D35/20)</f>
        <v>6.7420815298204885E-9</v>
      </c>
    </row>
    <row r="36" spans="1:9" x14ac:dyDescent="0.3">
      <c r="A36" s="11">
        <v>14003.692308</v>
      </c>
      <c r="B36" s="12">
        <f t="shared" si="5"/>
        <v>7.0002307177574936</v>
      </c>
      <c r="C36" s="8">
        <v>-126.38160499999999</v>
      </c>
      <c r="D36" s="8">
        <v>-143.08756700000001</v>
      </c>
      <c r="E36" s="8">
        <v>-143.259018</v>
      </c>
      <c r="F36" s="8">
        <f t="shared" si="6"/>
        <v>6.8714612225260444E-8</v>
      </c>
      <c r="H36" s="8">
        <f t="shared" si="7"/>
        <v>7.0084446855062513E-8</v>
      </c>
    </row>
    <row r="37" spans="1:9" x14ac:dyDescent="0.3">
      <c r="A37" s="11">
        <v>16004.153845999999</v>
      </c>
      <c r="B37" s="12">
        <f t="shared" si="5"/>
        <v>8.0002307177574927</v>
      </c>
      <c r="C37" s="8">
        <v>-146.54413700000001</v>
      </c>
      <c r="D37" s="8">
        <v>-163.25009900000001</v>
      </c>
      <c r="E37" s="8">
        <v>-142.460534</v>
      </c>
      <c r="F37" s="8">
        <f t="shared" si="6"/>
        <v>7.5330924959414066E-8</v>
      </c>
      <c r="H37" s="8">
        <f t="shared" si="7"/>
        <v>6.8785207226638258E-9</v>
      </c>
    </row>
    <row r="38" spans="1:9" x14ac:dyDescent="0.3">
      <c r="A38" s="11">
        <v>18004.615385000001</v>
      </c>
      <c r="B38" s="12">
        <f t="shared" si="5"/>
        <v>9.0002307182573791</v>
      </c>
      <c r="C38" s="8">
        <v>-140.376408</v>
      </c>
      <c r="D38" s="13">
        <v>-157.08237</v>
      </c>
      <c r="E38" s="8">
        <v>-145.63464500000001</v>
      </c>
      <c r="F38" s="8">
        <f t="shared" si="6"/>
        <v>5.2271835451332946E-8</v>
      </c>
      <c r="H38" s="8">
        <f t="shared" si="7"/>
        <v>1.3992054884026409E-8</v>
      </c>
    </row>
    <row r="39" spans="1:9" x14ac:dyDescent="0.3">
      <c r="A39" s="18">
        <v>5000.1538460000002</v>
      </c>
      <c r="B39" s="4">
        <f t="shared" ref="B39:B47" si="8">A39/$A$39</f>
        <v>1</v>
      </c>
      <c r="C39" s="5">
        <v>16.847149999999999</v>
      </c>
      <c r="D39" s="4">
        <v>0</v>
      </c>
      <c r="E39" s="7">
        <v>16.852833</v>
      </c>
      <c r="F39" s="7">
        <f t="shared" si="6"/>
        <v>6.9605194280314766</v>
      </c>
      <c r="G39" s="4"/>
      <c r="H39" s="7">
        <f t="shared" si="7"/>
        <v>1</v>
      </c>
      <c r="I39" s="4"/>
    </row>
    <row r="40" spans="1:9" x14ac:dyDescent="0.3">
      <c r="A40" s="20">
        <v>10000.153845999999</v>
      </c>
      <c r="B40" s="3">
        <f t="shared" si="8"/>
        <v>1.9999692317467144</v>
      </c>
      <c r="C40" s="7">
        <v>-98.879375999999993</v>
      </c>
      <c r="D40" s="7">
        <v>-115.72652600000001</v>
      </c>
      <c r="E40" s="7">
        <v>-129.02434600000001</v>
      </c>
      <c r="F40" s="7">
        <f t="shared" si="6"/>
        <v>3.5382026220217461E-7</v>
      </c>
      <c r="G40" s="4"/>
      <c r="H40" s="7">
        <f t="shared" si="7"/>
        <v>1.6355871881934273E-6</v>
      </c>
      <c r="I40" s="4"/>
    </row>
    <row r="41" spans="1:9" x14ac:dyDescent="0.3">
      <c r="A41" s="20">
        <v>15000.153845999999</v>
      </c>
      <c r="B41" s="3">
        <f t="shared" si="8"/>
        <v>2.9999384634934287</v>
      </c>
      <c r="C41" s="7">
        <v>-95.452332999999996</v>
      </c>
      <c r="D41" s="7">
        <v>-112.299483</v>
      </c>
      <c r="E41" s="7">
        <v>-123.20615599999999</v>
      </c>
      <c r="F41" s="7">
        <f t="shared" si="6"/>
        <v>6.9134081933175454E-7</v>
      </c>
      <c r="G41" s="4"/>
      <c r="H41" s="7">
        <f t="shared" si="7"/>
        <v>2.4267545356416331E-6</v>
      </c>
      <c r="I41" s="4"/>
    </row>
    <row r="42" spans="1:9" x14ac:dyDescent="0.3">
      <c r="A42" s="20">
        <v>20000.153846000001</v>
      </c>
      <c r="B42" s="3">
        <f t="shared" si="8"/>
        <v>3.9999076952401436</v>
      </c>
      <c r="C42" s="7">
        <v>-128.85644099999999</v>
      </c>
      <c r="D42" s="7">
        <v>-145.70359099999996</v>
      </c>
      <c r="E42" s="7">
        <v>-134.768799</v>
      </c>
      <c r="F42" s="7">
        <f t="shared" si="6"/>
        <v>1.8262492475303746E-7</v>
      </c>
      <c r="G42" s="9">
        <f>20*LOG10(SQRT(SUMSQ(F40:F47))/F39)</f>
        <v>-138.7914300081116</v>
      </c>
      <c r="H42" s="7">
        <f t="shared" si="7"/>
        <v>5.1858559619955203E-8</v>
      </c>
      <c r="I42" s="10">
        <f>20*LOG10(SQRT(SUMSQ(H40:H47))/H39)</f>
        <v>-110.66547672812702</v>
      </c>
    </row>
    <row r="43" spans="1:9" x14ac:dyDescent="0.3">
      <c r="A43" s="20">
        <v>25000.153846000001</v>
      </c>
      <c r="B43" s="3">
        <f t="shared" si="8"/>
        <v>4.9998769269868584</v>
      </c>
      <c r="C43" s="5">
        <v>-122.26506000000001</v>
      </c>
      <c r="D43" s="7">
        <v>-139.112211</v>
      </c>
      <c r="E43" s="7">
        <v>-150.36424500000001</v>
      </c>
      <c r="F43" s="7">
        <f t="shared" si="6"/>
        <v>3.0324088119765472E-8</v>
      </c>
      <c r="G43" s="4"/>
      <c r="H43" s="7">
        <f t="shared" si="7"/>
        <v>1.1076165848187698E-7</v>
      </c>
      <c r="I43" s="4"/>
    </row>
    <row r="44" spans="1:9" x14ac:dyDescent="0.3">
      <c r="A44" s="20">
        <v>30000.153846000001</v>
      </c>
      <c r="B44" s="3">
        <f t="shared" si="8"/>
        <v>5.9998461587335727</v>
      </c>
      <c r="C44" s="7">
        <v>-152.881114</v>
      </c>
      <c r="D44" s="7">
        <v>-169.728264</v>
      </c>
      <c r="E44" s="5">
        <v>-150.67839000000001</v>
      </c>
      <c r="F44" s="7">
        <f t="shared" si="6"/>
        <v>2.9246944434087192E-8</v>
      </c>
      <c r="G44" s="4"/>
      <c r="H44" s="7">
        <f t="shared" si="7"/>
        <v>3.2627725508127851E-9</v>
      </c>
      <c r="I44" s="4"/>
    </row>
    <row r="45" spans="1:9" x14ac:dyDescent="0.3">
      <c r="A45" s="20">
        <v>35000.153846000001</v>
      </c>
      <c r="B45" s="3">
        <f t="shared" si="8"/>
        <v>6.9998153904802871</v>
      </c>
      <c r="C45" s="7">
        <v>-148.762608</v>
      </c>
      <c r="D45" s="7">
        <v>-165.609759</v>
      </c>
      <c r="E45" s="7">
        <v>-150.984216</v>
      </c>
      <c r="F45" s="7">
        <f t="shared" si="6"/>
        <v>2.8235091534402983E-8</v>
      </c>
      <c r="G45" s="4"/>
      <c r="H45" s="7">
        <f t="shared" si="7"/>
        <v>5.2421814584218243E-9</v>
      </c>
      <c r="I45" s="4"/>
    </row>
    <row r="46" spans="1:9" x14ac:dyDescent="0.3">
      <c r="A46" s="20">
        <v>40000.153846000001</v>
      </c>
      <c r="B46" s="3">
        <f t="shared" si="8"/>
        <v>7.9997846222270015</v>
      </c>
      <c r="C46" s="7">
        <v>-150.78088399999996</v>
      </c>
      <c r="D46" s="7">
        <v>-167.62803500000001</v>
      </c>
      <c r="E46" s="5">
        <v>-152.92344</v>
      </c>
      <c r="F46" s="7">
        <f t="shared" si="6"/>
        <v>2.2585411099781909E-8</v>
      </c>
      <c r="G46" s="4"/>
      <c r="H46" s="7">
        <f t="shared" si="7"/>
        <v>4.1552604464492554E-9</v>
      </c>
      <c r="I46" s="4"/>
    </row>
    <row r="47" spans="1:9" x14ac:dyDescent="0.3">
      <c r="A47" s="20">
        <v>45000.153846000001</v>
      </c>
      <c r="B47" s="3">
        <f t="shared" si="8"/>
        <v>8.9997538539737167</v>
      </c>
      <c r="C47" s="7">
        <v>-151.860882</v>
      </c>
      <c r="D47" s="7">
        <v>-168.708033</v>
      </c>
      <c r="E47" s="7">
        <v>-154.35913099999999</v>
      </c>
      <c r="F47" s="7">
        <f t="shared" si="6"/>
        <v>1.9144474507812191E-8</v>
      </c>
      <c r="G47" s="4"/>
      <c r="H47" s="7">
        <f t="shared" si="7"/>
        <v>3.669427826180483E-9</v>
      </c>
      <c r="I47" s="4"/>
    </row>
    <row r="48" spans="1:9" x14ac:dyDescent="0.3">
      <c r="A48" s="21">
        <v>625.07692299999997</v>
      </c>
      <c r="B48">
        <f t="shared" ref="B48:B56" si="9">A48/$A$48</f>
        <v>1</v>
      </c>
      <c r="C48" s="13">
        <v>16.244990000000001</v>
      </c>
      <c r="D48">
        <v>0</v>
      </c>
      <c r="E48" s="8">
        <v>16.248325999999995</v>
      </c>
      <c r="F48" s="8">
        <f t="shared" si="6"/>
        <v>6.4925649066949358</v>
      </c>
      <c r="H48" s="8">
        <f t="shared" si="7"/>
        <v>1</v>
      </c>
    </row>
    <row r="49" spans="1:9" x14ac:dyDescent="0.3">
      <c r="A49" s="12">
        <v>1250</v>
      </c>
      <c r="B49" s="12">
        <f t="shared" si="9"/>
        <v>1.9997538766920693</v>
      </c>
      <c r="C49" s="13">
        <v>-125.97365000000001</v>
      </c>
      <c r="D49" s="13">
        <v>-142.21863999999999</v>
      </c>
      <c r="E49" s="8">
        <v>-145.40438399999999</v>
      </c>
      <c r="F49" s="8">
        <f t="shared" si="6"/>
        <v>5.3676081050209406E-8</v>
      </c>
      <c r="H49" s="8">
        <f t="shared" si="7"/>
        <v>7.7458306926132659E-8</v>
      </c>
    </row>
    <row r="50" spans="1:9" x14ac:dyDescent="0.3">
      <c r="A50" s="19">
        <v>1874.9230769999999</v>
      </c>
      <c r="B50" s="12">
        <f t="shared" si="9"/>
        <v>2.9995077533841386</v>
      </c>
      <c r="C50" s="13">
        <v>-135.52205000000001</v>
      </c>
      <c r="D50" s="13">
        <v>-151.76704000000001</v>
      </c>
      <c r="E50" s="8">
        <v>-149.54773599999996</v>
      </c>
      <c r="F50" s="8">
        <f t="shared" si="6"/>
        <v>3.3312958209589881E-8</v>
      </c>
      <c r="H50" s="8">
        <f t="shared" si="7"/>
        <v>2.5801680909978506E-8</v>
      </c>
    </row>
    <row r="51" spans="1:9" x14ac:dyDescent="0.3">
      <c r="A51" s="19">
        <v>2499.8461539999998</v>
      </c>
      <c r="B51" s="12">
        <f t="shared" si="9"/>
        <v>3.9992616300762074</v>
      </c>
      <c r="C51" s="8">
        <v>-150.635976</v>
      </c>
      <c r="D51" s="8">
        <v>-166.880966</v>
      </c>
      <c r="E51" s="13">
        <v>-153.64777000000001</v>
      </c>
      <c r="F51" s="8">
        <f t="shared" si="6"/>
        <v>2.0778371173386852E-8</v>
      </c>
      <c r="G51" s="15">
        <f>20*LOG10(SQRT(SUMSQ(F49:F56))/F48)</f>
        <v>-156.91181554451629</v>
      </c>
      <c r="H51" s="8">
        <f t="shared" si="7"/>
        <v>4.528472137634626E-9</v>
      </c>
      <c r="I51" s="16">
        <f>20*LOG10(SQRT(SUMSQ(H49:H56))/H48)</f>
        <v>-141.68849473924661</v>
      </c>
    </row>
    <row r="52" spans="1:9" x14ac:dyDescent="0.3">
      <c r="A52" s="19">
        <v>3124.7692310000002</v>
      </c>
      <c r="B52" s="12">
        <f t="shared" si="9"/>
        <v>4.9990155067682771</v>
      </c>
      <c r="C52" s="8">
        <v>-149.290334</v>
      </c>
      <c r="D52" s="8">
        <v>-165.535324</v>
      </c>
      <c r="E52" s="8">
        <v>-152.407927</v>
      </c>
      <c r="F52" s="8">
        <f t="shared" si="6"/>
        <v>2.3966446717697668E-8</v>
      </c>
      <c r="H52" s="8">
        <f t="shared" si="7"/>
        <v>5.287298139037398E-9</v>
      </c>
    </row>
    <row r="53" spans="1:9" x14ac:dyDescent="0.3">
      <c r="A53" s="19">
        <v>3749.6923080000001</v>
      </c>
      <c r="B53" s="12">
        <f t="shared" si="9"/>
        <v>5.9987693834603464</v>
      </c>
      <c r="C53" s="13">
        <v>-150.88436999999999</v>
      </c>
      <c r="D53" s="13">
        <v>-167.12935999999999</v>
      </c>
      <c r="E53" s="8">
        <v>-153.62373099999999</v>
      </c>
      <c r="F53" s="8">
        <f t="shared" si="6"/>
        <v>2.0835956880507297E-8</v>
      </c>
      <c r="H53" s="8">
        <f t="shared" si="7"/>
        <v>4.400803729615915E-9</v>
      </c>
    </row>
    <row r="54" spans="1:9" x14ac:dyDescent="0.3">
      <c r="A54" s="19">
        <v>4374.6153850000001</v>
      </c>
      <c r="B54" s="12">
        <f t="shared" si="9"/>
        <v>6.9985232601524157</v>
      </c>
      <c r="C54" s="8">
        <v>-151.32794799999999</v>
      </c>
      <c r="D54" s="8">
        <v>-167.57293799999999</v>
      </c>
      <c r="E54" s="8">
        <v>-150.594517</v>
      </c>
      <c r="F54" s="8">
        <f t="shared" si="6"/>
        <v>2.9530727765442559E-8</v>
      </c>
      <c r="H54" s="8">
        <f t="shared" si="7"/>
        <v>4.181702187547461E-9</v>
      </c>
    </row>
    <row r="55" spans="1:9" x14ac:dyDescent="0.3">
      <c r="A55" s="19">
        <v>4999.5384620000004</v>
      </c>
      <c r="B55" s="12">
        <f t="shared" si="9"/>
        <v>7.9982771368444849</v>
      </c>
      <c r="C55" s="8">
        <v>-152.388408</v>
      </c>
      <c r="D55" s="8">
        <v>-168.633398</v>
      </c>
      <c r="E55" s="8">
        <v>-151.402208</v>
      </c>
      <c r="F55" s="8">
        <f t="shared" si="6"/>
        <v>2.6908506882175296E-8</v>
      </c>
      <c r="H55" s="8">
        <f t="shared" si="7"/>
        <v>3.7010938687495765E-9</v>
      </c>
    </row>
    <row r="56" spans="1:9" x14ac:dyDescent="0.3">
      <c r="A56" s="19">
        <v>5624.4615379999996</v>
      </c>
      <c r="B56" s="12">
        <f t="shared" si="9"/>
        <v>8.9980310119367495</v>
      </c>
      <c r="C56" s="8">
        <v>-152.22181699999996</v>
      </c>
      <c r="D56" s="8">
        <v>-168.46680699999996</v>
      </c>
      <c r="E56" s="8">
        <v>-148.08001300000001</v>
      </c>
      <c r="F56" s="8">
        <f t="shared" si="6"/>
        <v>3.9445671169924238E-8</v>
      </c>
      <c r="H56" s="8">
        <f t="shared" si="7"/>
        <v>3.7727640923969092E-9</v>
      </c>
    </row>
    <row r="57" spans="1:9" x14ac:dyDescent="0.3">
      <c r="A57" s="22">
        <v>62.615385000000003</v>
      </c>
      <c r="B57" s="4">
        <f t="shared" ref="B57:B65" si="10">A57/$A$57</f>
        <v>1</v>
      </c>
      <c r="C57" s="5">
        <v>16.27431</v>
      </c>
      <c r="D57" s="4">
        <v>0</v>
      </c>
      <c r="E57" s="7">
        <v>16.276623000000001</v>
      </c>
      <c r="F57" s="7">
        <f t="shared" si="6"/>
        <v>6.5137509572797523</v>
      </c>
      <c r="G57" s="4"/>
      <c r="H57" s="7">
        <f t="shared" si="7"/>
        <v>1</v>
      </c>
      <c r="I57" s="4"/>
    </row>
    <row r="58" spans="1:9" x14ac:dyDescent="0.3">
      <c r="A58" s="17">
        <v>125.07692299999999</v>
      </c>
      <c r="B58" s="3">
        <f t="shared" si="10"/>
        <v>1.997542984044576</v>
      </c>
      <c r="C58" s="7">
        <v>-130.11259899999999</v>
      </c>
      <c r="D58" s="7">
        <v>-146.386909</v>
      </c>
      <c r="E58" s="7">
        <v>-135.54491200000001</v>
      </c>
      <c r="F58" s="7">
        <f t="shared" si="6"/>
        <v>1.6701458548339577E-7</v>
      </c>
      <c r="G58" s="4"/>
      <c r="H58" s="7">
        <f t="shared" si="7"/>
        <v>4.7935200693415306E-8</v>
      </c>
      <c r="I58" s="4"/>
    </row>
    <row r="59" spans="1:9" x14ac:dyDescent="0.3">
      <c r="A59" s="17">
        <v>187.53846200000001</v>
      </c>
      <c r="B59" s="3">
        <f t="shared" si="10"/>
        <v>2.9950859840596684</v>
      </c>
      <c r="C59" s="7">
        <v>-128.60996800000001</v>
      </c>
      <c r="D59" s="7">
        <v>-144.88427799999999</v>
      </c>
      <c r="E59" s="7">
        <v>-142.10152199999999</v>
      </c>
      <c r="F59" s="7">
        <f t="shared" si="6"/>
        <v>7.8509805239540507E-8</v>
      </c>
      <c r="G59" s="4"/>
      <c r="H59" s="7">
        <f t="shared" si="7"/>
        <v>5.6988352243413076E-8</v>
      </c>
      <c r="I59" s="4"/>
    </row>
    <row r="60" spans="1:9" x14ac:dyDescent="0.3">
      <c r="A60" s="3">
        <v>250</v>
      </c>
      <c r="B60" s="3">
        <f t="shared" si="10"/>
        <v>3.9926289681042446</v>
      </c>
      <c r="C60" s="7">
        <v>-139.83819800000001</v>
      </c>
      <c r="D60" s="7">
        <v>-156.11250799999999</v>
      </c>
      <c r="E60" s="7">
        <v>-139.304473</v>
      </c>
      <c r="F60" s="7">
        <f t="shared" si="6"/>
        <v>1.0833688644599653E-7</v>
      </c>
      <c r="G60" s="9">
        <f>20*LOG10(SQRT(SUMSQ(F58:F65))/F57)</f>
        <v>-149.0751700946534</v>
      </c>
      <c r="H60" s="7">
        <f t="shared" si="7"/>
        <v>1.5644965147513985E-8</v>
      </c>
      <c r="I60" s="10">
        <f>20*LOG10(SQRT(SUMSQ(H58:H65))/H57)</f>
        <v>-142.23375578532657</v>
      </c>
    </row>
    <row r="61" spans="1:9" x14ac:dyDescent="0.3">
      <c r="A61" s="17">
        <v>312.46153800000002</v>
      </c>
      <c r="B61" s="3">
        <f t="shared" si="10"/>
        <v>4.9901719521488213</v>
      </c>
      <c r="C61" s="7">
        <v>-143.04474200000001</v>
      </c>
      <c r="D61" s="7">
        <v>-159.319052</v>
      </c>
      <c r="E61" s="7">
        <v>-146.330186</v>
      </c>
      <c r="F61" s="7">
        <f t="shared" si="6"/>
        <v>4.8249264783156289E-8</v>
      </c>
      <c r="G61" s="4"/>
      <c r="H61" s="7">
        <f t="shared" si="7"/>
        <v>1.0815519881804013E-8</v>
      </c>
      <c r="I61" s="4"/>
    </row>
    <row r="62" spans="1:9" x14ac:dyDescent="0.3">
      <c r="A62" s="17">
        <v>374.92307699999998</v>
      </c>
      <c r="B62" s="3">
        <f t="shared" si="10"/>
        <v>5.9877149521639126</v>
      </c>
      <c r="C62" s="7">
        <v>-150.405337</v>
      </c>
      <c r="D62" s="7">
        <v>-166.67964599999999</v>
      </c>
      <c r="E62" s="7">
        <v>-147.53302500000001</v>
      </c>
      <c r="F62" s="7">
        <f t="shared" si="6"/>
        <v>4.2009619697761851E-8</v>
      </c>
      <c r="G62" s="4"/>
      <c r="H62" s="7">
        <f t="shared" si="7"/>
        <v>4.6346580825084164E-9</v>
      </c>
      <c r="I62" s="4"/>
    </row>
    <row r="63" spans="1:9" x14ac:dyDescent="0.3">
      <c r="A63" s="17">
        <v>437.384615</v>
      </c>
      <c r="B63" s="3">
        <f t="shared" si="10"/>
        <v>6.9852579362084892</v>
      </c>
      <c r="C63" s="5">
        <v>-152.24997999999999</v>
      </c>
      <c r="D63" s="7">
        <v>-168.52428900000001</v>
      </c>
      <c r="E63" s="7">
        <v>-151.95615799999996</v>
      </c>
      <c r="F63" s="7">
        <f t="shared" si="6"/>
        <v>2.5245972220411268E-8</v>
      </c>
      <c r="G63" s="4"/>
      <c r="H63" s="7">
        <f t="shared" si="7"/>
        <v>3.7478789026866513E-9</v>
      </c>
      <c r="I63" s="4"/>
    </row>
    <row r="64" spans="1:9" x14ac:dyDescent="0.3">
      <c r="A64" s="17">
        <v>499.84615400000001</v>
      </c>
      <c r="B64" s="3">
        <f t="shared" si="10"/>
        <v>7.9828009362235814</v>
      </c>
      <c r="C64" s="7">
        <v>-150.83631500000001</v>
      </c>
      <c r="D64" s="7">
        <v>-167.110624</v>
      </c>
      <c r="E64" s="7">
        <v>-150.02976100000001</v>
      </c>
      <c r="F64" s="7">
        <f t="shared" si="6"/>
        <v>3.1514610942741638E-8</v>
      </c>
      <c r="G64" s="4"/>
      <c r="H64" s="7">
        <f t="shared" si="7"/>
        <v>4.4103067805056985E-9</v>
      </c>
      <c r="I64" s="4"/>
    </row>
    <row r="65" spans="1:9" x14ac:dyDescent="0.3">
      <c r="A65" s="17">
        <v>562.30769199999997</v>
      </c>
      <c r="B65" s="3">
        <f t="shared" si="10"/>
        <v>8.9803439202681563</v>
      </c>
      <c r="C65" s="5">
        <v>-151.48049</v>
      </c>
      <c r="D65" s="6">
        <v>-167.75479999999996</v>
      </c>
      <c r="E65" s="7">
        <v>-150.085815</v>
      </c>
      <c r="F65" s="7">
        <f t="shared" si="6"/>
        <v>3.1311887648035702E-8</v>
      </c>
      <c r="G65" s="4"/>
      <c r="H65" s="7">
        <f t="shared" si="7"/>
        <v>4.0950574603436542E-9</v>
      </c>
      <c r="I65" s="4"/>
    </row>
  </sheetData>
  <mergeCells count="2">
    <mergeCell ref="F1:G1"/>
    <mergeCell ref="H1:I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workbookViewId="0">
      <pane ySplit="2" topLeftCell="A21" activePane="bottomLeft" state="frozen"/>
      <selection pane="bottomLeft" activeCell="R43" sqref="R43"/>
    </sheetView>
  </sheetViews>
  <sheetFormatPr baseColWidth="10" defaultColWidth="8.88671875" defaultRowHeight="14.4" x14ac:dyDescent="0.3"/>
  <cols>
    <col min="1" max="2" width="17.33203125" customWidth="1"/>
    <col min="3" max="5" width="18.88671875" customWidth="1"/>
    <col min="6" max="6" width="14.88671875" customWidth="1"/>
    <col min="7" max="7" width="14" customWidth="1"/>
    <col min="8" max="8" width="13.44140625" customWidth="1"/>
    <col min="9" max="9" width="14.5546875" customWidth="1"/>
  </cols>
  <sheetData>
    <row r="1" spans="1:11" x14ac:dyDescent="0.3">
      <c r="F1" s="102" t="s">
        <v>0</v>
      </c>
      <c r="G1" s="102"/>
      <c r="H1" s="102" t="s">
        <v>1</v>
      </c>
      <c r="I1" s="102"/>
    </row>
    <row r="2" spans="1:11" ht="28.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1" t="s">
        <v>8</v>
      </c>
      <c r="K2" s="23" t="s">
        <v>10</v>
      </c>
    </row>
    <row r="3" spans="1:11" x14ac:dyDescent="0.3">
      <c r="A3" s="7">
        <v>62.461537999999997</v>
      </c>
      <c r="B3" s="4">
        <v>1</v>
      </c>
      <c r="C3" s="7">
        <v>16.804258000000001</v>
      </c>
      <c r="D3" s="3">
        <v>0</v>
      </c>
      <c r="E3" s="7">
        <v>16.806605999999995</v>
      </c>
      <c r="F3" s="24">
        <f t="shared" ref="F3:F34" si="0">10^(E3/20)</f>
        <v>6.9235733885098476</v>
      </c>
      <c r="G3" s="4"/>
      <c r="H3" s="7">
        <f t="shared" ref="H3:H34" si="1">10^(D3/20)</f>
        <v>1</v>
      </c>
      <c r="I3" s="4"/>
    </row>
    <row r="4" spans="1:11" x14ac:dyDescent="0.3">
      <c r="A4" s="7">
        <v>125.07692299999999</v>
      </c>
      <c r="B4" s="4">
        <v>2</v>
      </c>
      <c r="C4" s="6">
        <v>-129.7029</v>
      </c>
      <c r="D4" s="7">
        <v>-146.50715700000001</v>
      </c>
      <c r="E4" s="7">
        <v>-136.44497500000003</v>
      </c>
      <c r="F4" s="24">
        <f t="shared" si="0"/>
        <v>1.5057443768915612E-7</v>
      </c>
      <c r="G4" s="4"/>
      <c r="H4" s="7">
        <f t="shared" si="1"/>
        <v>4.7276155232868289E-8</v>
      </c>
      <c r="I4" s="4"/>
    </row>
    <row r="5" spans="1:11" x14ac:dyDescent="0.3">
      <c r="A5" s="7">
        <v>187.53846200000001</v>
      </c>
      <c r="B5" s="4">
        <v>3</v>
      </c>
      <c r="C5" s="5">
        <v>-130.87438</v>
      </c>
      <c r="D5" s="7">
        <v>-147.67863800000001</v>
      </c>
      <c r="E5" s="7">
        <v>-142.03604799999999</v>
      </c>
      <c r="F5" s="24">
        <f t="shared" si="0"/>
        <v>7.9103846136691823E-8</v>
      </c>
      <c r="G5" s="25"/>
      <c r="H5" s="7">
        <f t="shared" si="1"/>
        <v>4.1311227541357545E-8</v>
      </c>
      <c r="I5" s="25"/>
    </row>
    <row r="6" spans="1:11" x14ac:dyDescent="0.3">
      <c r="A6" s="3">
        <v>250</v>
      </c>
      <c r="B6" s="4">
        <v>4</v>
      </c>
      <c r="C6" s="7">
        <v>-138.448328</v>
      </c>
      <c r="D6" s="7">
        <v>-155.25258500000001</v>
      </c>
      <c r="E6" s="7">
        <v>-139.240926</v>
      </c>
      <c r="F6" s="26">
        <f t="shared" si="0"/>
        <v>1.0913239845352751E-7</v>
      </c>
      <c r="G6" s="9">
        <f>20*LOG10(SQRT(SUMSQ(F4:F11))/F3)</f>
        <v>-150.18627759477434</v>
      </c>
      <c r="H6" s="27">
        <f t="shared" si="1"/>
        <v>1.7273118402428476E-8</v>
      </c>
      <c r="I6" s="9">
        <f>20*LOG10(SQRT(SUMSQ(H4:H11))/H3)</f>
        <v>-143.51556406492168</v>
      </c>
    </row>
    <row r="7" spans="1:11" x14ac:dyDescent="0.3">
      <c r="A7" s="7">
        <v>312.615385</v>
      </c>
      <c r="B7" s="4">
        <v>5</v>
      </c>
      <c r="C7" s="7">
        <v>-143.68698699999999</v>
      </c>
      <c r="D7" s="7">
        <v>-160.49124499999999</v>
      </c>
      <c r="E7" s="7">
        <v>-149.61141499999999</v>
      </c>
      <c r="F7" s="24">
        <f t="shared" si="0"/>
        <v>3.3069623464326554E-8</v>
      </c>
      <c r="G7" s="4"/>
      <c r="H7" s="7">
        <f t="shared" si="1"/>
        <v>9.450129284330961E-9</v>
      </c>
      <c r="I7" s="4"/>
    </row>
    <row r="8" spans="1:11" x14ac:dyDescent="0.3">
      <c r="A8" s="7">
        <v>375.07692300000002</v>
      </c>
      <c r="B8" s="4">
        <v>6</v>
      </c>
      <c r="C8" s="7">
        <v>-147.102318</v>
      </c>
      <c r="D8" s="7">
        <v>-163.906576</v>
      </c>
      <c r="E8" s="6">
        <v>-147.84569999999999</v>
      </c>
      <c r="F8" s="24">
        <f t="shared" si="0"/>
        <v>4.0524251314072799E-8</v>
      </c>
      <c r="G8" s="4"/>
      <c r="H8" s="7">
        <f t="shared" si="1"/>
        <v>6.3778044617691132E-9</v>
      </c>
      <c r="I8" s="4"/>
    </row>
    <row r="9" spans="1:11" x14ac:dyDescent="0.3">
      <c r="A9" s="7">
        <v>437.07692300000002</v>
      </c>
      <c r="B9" s="4">
        <v>7</v>
      </c>
      <c r="C9" s="7">
        <v>-148.92918700000001</v>
      </c>
      <c r="D9" s="7">
        <v>-165.73344399999999</v>
      </c>
      <c r="E9" s="7">
        <v>-150.36554899999996</v>
      </c>
      <c r="F9" s="24">
        <f t="shared" si="0"/>
        <v>3.0319535950158749E-8</v>
      </c>
      <c r="G9" s="4"/>
      <c r="H9" s="7">
        <f t="shared" si="1"/>
        <v>5.1680630097664071E-9</v>
      </c>
      <c r="I9" s="4"/>
    </row>
    <row r="10" spans="1:11" x14ac:dyDescent="0.3">
      <c r="A10" s="3">
        <v>502</v>
      </c>
      <c r="B10" s="4">
        <v>8</v>
      </c>
      <c r="C10" s="7">
        <v>-148.57507799999999</v>
      </c>
      <c r="D10" s="7">
        <v>-165.379335</v>
      </c>
      <c r="E10" s="7">
        <v>-153.429248</v>
      </c>
      <c r="F10" s="24">
        <f t="shared" si="0"/>
        <v>2.1307750360926057E-8</v>
      </c>
      <c r="G10" s="4"/>
      <c r="H10" s="7">
        <f t="shared" si="1"/>
        <v>5.383109945421253E-9</v>
      </c>
      <c r="I10" s="4"/>
    </row>
    <row r="11" spans="1:11" x14ac:dyDescent="0.3">
      <c r="A11" s="7">
        <v>562.92307700000003</v>
      </c>
      <c r="B11" s="4">
        <v>9</v>
      </c>
      <c r="C11" s="7">
        <v>-149.18597199999999</v>
      </c>
      <c r="D11" s="5">
        <v>-165.99023</v>
      </c>
      <c r="E11" s="6">
        <v>-150.11349999999996</v>
      </c>
      <c r="F11" s="24">
        <f t="shared" si="0"/>
        <v>3.1212244479366537E-8</v>
      </c>
      <c r="G11" s="4"/>
      <c r="H11" s="7">
        <f t="shared" si="1"/>
        <v>5.0175129262276176E-9</v>
      </c>
      <c r="I11" s="4"/>
    </row>
    <row r="12" spans="1:11" x14ac:dyDescent="0.3">
      <c r="A12" s="8">
        <v>125.07692299999999</v>
      </c>
      <c r="B12">
        <v>1</v>
      </c>
      <c r="C12" s="8">
        <v>16.838592999999999</v>
      </c>
      <c r="D12" s="12">
        <v>0</v>
      </c>
      <c r="E12" s="8">
        <v>16.840886000000001</v>
      </c>
      <c r="F12" s="28">
        <f t="shared" si="0"/>
        <v>6.9509521682639654</v>
      </c>
      <c r="H12" s="8">
        <f t="shared" si="1"/>
        <v>1</v>
      </c>
    </row>
    <row r="13" spans="1:11" x14ac:dyDescent="0.3">
      <c r="A13" s="12">
        <v>250</v>
      </c>
      <c r="B13">
        <v>2</v>
      </c>
      <c r="C13" s="8">
        <v>-125.149629</v>
      </c>
      <c r="D13" s="8">
        <v>-141.98822200000001</v>
      </c>
      <c r="E13" s="8">
        <v>-131.33937599999999</v>
      </c>
      <c r="F13" s="28">
        <f t="shared" si="0"/>
        <v>2.7103863408265108E-7</v>
      </c>
      <c r="H13" s="8">
        <f t="shared" si="1"/>
        <v>7.9540606834482815E-8</v>
      </c>
    </row>
    <row r="14" spans="1:11" x14ac:dyDescent="0.3">
      <c r="A14" s="8">
        <v>375.07692300000002</v>
      </c>
      <c r="B14">
        <v>3</v>
      </c>
      <c r="C14" s="8">
        <v>-124.723868</v>
      </c>
      <c r="D14" s="8">
        <v>-141.56246100000001</v>
      </c>
      <c r="E14" s="8">
        <v>-140.21049300000001</v>
      </c>
      <c r="F14" s="28">
        <f t="shared" si="0"/>
        <v>9.7605738108789083E-8</v>
      </c>
      <c r="G14" s="29"/>
      <c r="H14" s="8">
        <f t="shared" si="1"/>
        <v>8.3536629777827199E-8</v>
      </c>
      <c r="I14" s="29"/>
    </row>
    <row r="15" spans="1:11" x14ac:dyDescent="0.3">
      <c r="A15" s="8">
        <v>500.15384599999999</v>
      </c>
      <c r="B15">
        <v>4</v>
      </c>
      <c r="C15" s="8">
        <v>-139.37086300000001</v>
      </c>
      <c r="D15" s="8">
        <v>-156.20945499999999</v>
      </c>
      <c r="E15" s="8">
        <v>-141.779887</v>
      </c>
      <c r="F15" s="30">
        <f t="shared" si="0"/>
        <v>8.1471488307134172E-8</v>
      </c>
      <c r="G15" s="15">
        <f>20*LOG10(SQRT(SUMSQ(F13:F20))/F12)</f>
        <v>-147.05416659355203</v>
      </c>
      <c r="H15" s="31">
        <f t="shared" si="1"/>
        <v>1.5471315763598112E-8</v>
      </c>
      <c r="I15" s="15">
        <f>20*LOG10(SQRT(SUMSQ(H13:H20))/H12)</f>
        <v>-138.58460363308183</v>
      </c>
    </row>
    <row r="16" spans="1:11" x14ac:dyDescent="0.3">
      <c r="A16" s="8">
        <v>625.23076900000001</v>
      </c>
      <c r="B16">
        <v>5</v>
      </c>
      <c r="C16" s="8">
        <v>-140.708035</v>
      </c>
      <c r="D16" s="8">
        <v>-157.546628</v>
      </c>
      <c r="E16" s="8">
        <v>-146.99723599999996</v>
      </c>
      <c r="F16" s="28">
        <f t="shared" si="0"/>
        <v>4.4682575719816603E-8</v>
      </c>
      <c r="H16" s="8">
        <f t="shared" si="1"/>
        <v>1.3263819403109325E-8</v>
      </c>
    </row>
    <row r="17" spans="1:9" x14ac:dyDescent="0.3">
      <c r="A17" s="8">
        <v>751.23076900000001</v>
      </c>
      <c r="B17">
        <v>6</v>
      </c>
      <c r="C17" s="8">
        <v>-149.246925</v>
      </c>
      <c r="D17" s="8">
        <v>-166.08551800000001</v>
      </c>
      <c r="E17" s="8">
        <v>-149.50702799999999</v>
      </c>
      <c r="F17" s="28">
        <f t="shared" si="0"/>
        <v>3.346945187269133E-8</v>
      </c>
      <c r="H17" s="8">
        <f t="shared" si="1"/>
        <v>4.962769448651165E-9</v>
      </c>
    </row>
    <row r="18" spans="1:9" x14ac:dyDescent="0.3">
      <c r="A18" s="8">
        <v>875.23076900000001</v>
      </c>
      <c r="B18">
        <v>7</v>
      </c>
      <c r="C18" s="8">
        <v>-146.36908500000001</v>
      </c>
      <c r="D18" s="8">
        <v>-163.20767799999996</v>
      </c>
      <c r="E18" s="8">
        <v>-151.18521799999999</v>
      </c>
      <c r="F18" s="28">
        <f t="shared" si="0"/>
        <v>2.7589199524304349E-8</v>
      </c>
      <c r="H18" s="8">
        <f t="shared" si="1"/>
        <v>6.9121968855671401E-9</v>
      </c>
    </row>
    <row r="19" spans="1:9" x14ac:dyDescent="0.3">
      <c r="A19" s="12">
        <v>1002</v>
      </c>
      <c r="B19">
        <v>8</v>
      </c>
      <c r="C19" s="13">
        <v>-147.62181000000001</v>
      </c>
      <c r="D19" s="8">
        <v>-164.46040199999996</v>
      </c>
      <c r="E19" s="8">
        <v>-151.25606500000001</v>
      </c>
      <c r="F19" s="28">
        <f t="shared" si="0"/>
        <v>2.7365081757263075E-8</v>
      </c>
      <c r="H19" s="8">
        <f t="shared" si="1"/>
        <v>5.9838390003948869E-9</v>
      </c>
    </row>
    <row r="20" spans="1:9" x14ac:dyDescent="0.3">
      <c r="A20" s="8">
        <v>1127.3846149999999</v>
      </c>
      <c r="B20">
        <v>9</v>
      </c>
      <c r="C20" s="8">
        <v>-149.30801500000001</v>
      </c>
      <c r="D20" s="8">
        <v>-166.14660699999996</v>
      </c>
      <c r="E20" s="8">
        <v>-150.20225099999999</v>
      </c>
      <c r="F20" s="28">
        <f t="shared" si="0"/>
        <v>3.0894946678240942E-8</v>
      </c>
      <c r="H20" s="8">
        <f t="shared" si="1"/>
        <v>4.9279880950908906E-9</v>
      </c>
    </row>
    <row r="21" spans="1:9" x14ac:dyDescent="0.3">
      <c r="A21" s="7">
        <v>625.23076900000001</v>
      </c>
      <c r="B21" s="4">
        <v>1</v>
      </c>
      <c r="C21" s="7">
        <v>16.818487000000001</v>
      </c>
      <c r="D21" s="3">
        <v>0</v>
      </c>
      <c r="E21" s="7">
        <v>16.820383</v>
      </c>
      <c r="F21" s="24">
        <f t="shared" si="0"/>
        <v>6.934563829580469</v>
      </c>
      <c r="G21" s="4"/>
      <c r="H21" s="7">
        <f t="shared" si="1"/>
        <v>1</v>
      </c>
      <c r="I21" s="4"/>
    </row>
    <row r="22" spans="1:9" x14ac:dyDescent="0.3">
      <c r="A22" s="7">
        <v>1250.3076920000001</v>
      </c>
      <c r="B22" s="4">
        <v>2</v>
      </c>
      <c r="C22" s="7">
        <v>-116.577376</v>
      </c>
      <c r="D22" s="7">
        <v>-133.39586299999999</v>
      </c>
      <c r="E22" s="7">
        <v>-136.57598200000001</v>
      </c>
      <c r="F22" s="24">
        <f t="shared" si="0"/>
        <v>1.4832040408618489E-7</v>
      </c>
      <c r="G22" s="4"/>
      <c r="H22" s="7">
        <f t="shared" si="1"/>
        <v>2.1389806214199662E-7</v>
      </c>
      <c r="I22" s="4"/>
    </row>
    <row r="23" spans="1:9" x14ac:dyDescent="0.3">
      <c r="A23" s="7">
        <v>1875.538462</v>
      </c>
      <c r="B23" s="4">
        <v>3</v>
      </c>
      <c r="C23" s="5">
        <v>-112.68668</v>
      </c>
      <c r="D23" s="7">
        <v>-129.505167</v>
      </c>
      <c r="E23" s="7">
        <v>-135.47385299999999</v>
      </c>
      <c r="F23" s="24">
        <f t="shared" si="0"/>
        <v>1.6838653101833226E-7</v>
      </c>
      <c r="G23" s="25"/>
      <c r="H23" s="7">
        <f t="shared" si="1"/>
        <v>3.3476623656542708E-7</v>
      </c>
      <c r="I23" s="25"/>
    </row>
    <row r="24" spans="1:9" x14ac:dyDescent="0.3">
      <c r="A24" s="7">
        <v>2500.7692310000002</v>
      </c>
      <c r="B24" s="4">
        <v>4</v>
      </c>
      <c r="C24" s="7">
        <v>-134.92204100000001</v>
      </c>
      <c r="D24" s="7">
        <v>-151.74052800000001</v>
      </c>
      <c r="E24" s="7">
        <v>-145.06543400000001</v>
      </c>
      <c r="F24" s="26">
        <f t="shared" si="0"/>
        <v>5.581209181421262E-8</v>
      </c>
      <c r="G24" s="9">
        <f>20*LOG10(SQRT(SUMSQ(F22:F29))/F21)</f>
        <v>-149.03416117476073</v>
      </c>
      <c r="H24" s="27">
        <f t="shared" si="1"/>
        <v>2.5880555870104195E-8</v>
      </c>
      <c r="I24" s="9">
        <f>20*LOG10(SQRT(SUMSQ(H22:H29))/H21)</f>
        <v>-127.84910659898628</v>
      </c>
    </row>
    <row r="25" spans="1:9" x14ac:dyDescent="0.3">
      <c r="A25" s="7">
        <v>3125.8461539999998</v>
      </c>
      <c r="B25" s="4">
        <v>5</v>
      </c>
      <c r="C25" s="7">
        <v>-126.43323400000001</v>
      </c>
      <c r="D25" s="7">
        <v>-143.251721</v>
      </c>
      <c r="E25" s="7">
        <v>-145.83074500000001</v>
      </c>
      <c r="F25" s="24">
        <f t="shared" si="0"/>
        <v>5.1104924380221154E-8</v>
      </c>
      <c r="G25" s="4"/>
      <c r="H25" s="7">
        <f t="shared" si="1"/>
        <v>6.8772363500298034E-8</v>
      </c>
      <c r="I25" s="4"/>
    </row>
    <row r="26" spans="1:9" x14ac:dyDescent="0.3">
      <c r="A26" s="7">
        <v>3752.3076919999999</v>
      </c>
      <c r="B26" s="4">
        <v>6</v>
      </c>
      <c r="C26" s="7">
        <v>-149.35796300000001</v>
      </c>
      <c r="D26" s="5">
        <v>-166.17644999999996</v>
      </c>
      <c r="E26" s="7">
        <v>-151.88694799999999</v>
      </c>
      <c r="F26" s="24">
        <f t="shared" si="0"/>
        <v>2.5447938116684424E-8</v>
      </c>
      <c r="G26" s="4"/>
      <c r="H26" s="7">
        <f t="shared" si="1"/>
        <v>4.9110855555502E-9</v>
      </c>
      <c r="I26" s="4"/>
    </row>
    <row r="27" spans="1:9" x14ac:dyDescent="0.3">
      <c r="A27" s="7">
        <v>4376.3076920000003</v>
      </c>
      <c r="B27" s="4">
        <v>7</v>
      </c>
      <c r="C27" s="7">
        <v>-134.117437</v>
      </c>
      <c r="D27" s="7">
        <v>-150.935924</v>
      </c>
      <c r="E27" s="7">
        <v>-146.861087</v>
      </c>
      <c r="F27" s="24">
        <f t="shared" si="0"/>
        <v>4.5388481145423699E-8</v>
      </c>
      <c r="G27" s="4"/>
      <c r="H27" s="7">
        <f t="shared" si="1"/>
        <v>2.8392510822616426E-8</v>
      </c>
      <c r="I27" s="4"/>
    </row>
    <row r="28" spans="1:9" x14ac:dyDescent="0.3">
      <c r="A28" s="7">
        <v>5001.6923079999997</v>
      </c>
      <c r="B28" s="4">
        <v>8</v>
      </c>
      <c r="C28" s="7">
        <v>-150.478352</v>
      </c>
      <c r="D28" s="7">
        <v>-167.29683900000001</v>
      </c>
      <c r="E28" s="7">
        <v>-151.205827</v>
      </c>
      <c r="F28" s="24">
        <f t="shared" si="0"/>
        <v>2.7523816261518557E-8</v>
      </c>
      <c r="G28" s="4"/>
      <c r="H28" s="7">
        <f t="shared" si="1"/>
        <v>4.3167614537116892E-9</v>
      </c>
      <c r="I28" s="4"/>
    </row>
    <row r="29" spans="1:9" x14ac:dyDescent="0.3">
      <c r="A29" s="7">
        <v>5628.1538460000002</v>
      </c>
      <c r="B29" s="4">
        <v>9</v>
      </c>
      <c r="C29" s="7">
        <v>-149.45483400000001</v>
      </c>
      <c r="D29" s="7">
        <v>-166.27332100000001</v>
      </c>
      <c r="E29" s="7">
        <v>-152.83866599999996</v>
      </c>
      <c r="F29" s="24">
        <f t="shared" si="0"/>
        <v>2.2806923193625017E-8</v>
      </c>
      <c r="G29" s="4"/>
      <c r="H29" s="7">
        <f t="shared" si="1"/>
        <v>4.856618054331829E-9</v>
      </c>
      <c r="I29" s="4"/>
    </row>
    <row r="30" spans="1:9" x14ac:dyDescent="0.3">
      <c r="A30" s="8">
        <v>1000.153846</v>
      </c>
      <c r="B30">
        <v>1</v>
      </c>
      <c r="C30" s="13">
        <v>16.87885</v>
      </c>
      <c r="D30" s="12">
        <v>0</v>
      </c>
      <c r="E30" s="8">
        <v>16.881321</v>
      </c>
      <c r="F30" s="28">
        <f t="shared" si="0"/>
        <v>6.9833860334829554</v>
      </c>
      <c r="H30" s="8">
        <f t="shared" si="1"/>
        <v>1</v>
      </c>
    </row>
    <row r="31" spans="1:9" x14ac:dyDescent="0.3">
      <c r="A31" s="8">
        <v>2000.1538459999999</v>
      </c>
      <c r="B31">
        <v>2</v>
      </c>
      <c r="C31" s="8">
        <v>-113.459845</v>
      </c>
      <c r="D31" s="8">
        <v>-130.338694</v>
      </c>
      <c r="E31" s="8">
        <v>-134.87865900000003</v>
      </c>
      <c r="F31" s="28">
        <f t="shared" si="0"/>
        <v>1.8032961272476586E-7</v>
      </c>
      <c r="H31" s="8">
        <f t="shared" si="1"/>
        <v>3.0413422838951964E-7</v>
      </c>
    </row>
    <row r="32" spans="1:9" x14ac:dyDescent="0.3">
      <c r="A32" s="8">
        <v>3000.3076919999999</v>
      </c>
      <c r="B32">
        <v>3</v>
      </c>
      <c r="C32" s="8">
        <v>-108.200734</v>
      </c>
      <c r="D32" s="8">
        <v>-125.079584</v>
      </c>
      <c r="E32" s="8">
        <v>-132.72770399999999</v>
      </c>
      <c r="F32" s="28">
        <f t="shared" si="0"/>
        <v>2.3100150001221944E-7</v>
      </c>
      <c r="G32" s="29"/>
      <c r="H32" s="8">
        <f t="shared" si="1"/>
        <v>5.5721243529704942E-7</v>
      </c>
      <c r="I32" s="29"/>
    </row>
    <row r="33" spans="1:9" x14ac:dyDescent="0.3">
      <c r="A33" s="8">
        <v>4000.461538</v>
      </c>
      <c r="B33">
        <v>4</v>
      </c>
      <c r="C33" s="8">
        <v>-131.236313</v>
      </c>
      <c r="D33" s="8">
        <v>-148.115162</v>
      </c>
      <c r="E33" s="8">
        <v>-140.17827399999999</v>
      </c>
      <c r="F33" s="30">
        <f t="shared" si="0"/>
        <v>9.7968464223356563E-8</v>
      </c>
      <c r="G33" s="15">
        <f>20*LOG10(SQRT(SUMSQ(F31:F38))/F30)</f>
        <v>-146.72898295376444</v>
      </c>
      <c r="H33" s="31">
        <f t="shared" si="1"/>
        <v>3.9286369771567235E-8</v>
      </c>
      <c r="I33" s="15">
        <f>20*LOG10(SQRT(SUMSQ(H31:H38))/H30)</f>
        <v>-123.80052771133876</v>
      </c>
    </row>
    <row r="34" spans="1:9" x14ac:dyDescent="0.3">
      <c r="A34" s="8">
        <v>5000.6153850000001</v>
      </c>
      <c r="B34">
        <v>5</v>
      </c>
      <c r="C34" s="8">
        <v>-122.89217600000001</v>
      </c>
      <c r="D34" s="8">
        <v>-139.77102600000001</v>
      </c>
      <c r="E34" s="8">
        <v>-146.07192800000001</v>
      </c>
      <c r="F34" s="28">
        <f t="shared" si="0"/>
        <v>4.9705403079228312E-8</v>
      </c>
      <c r="H34" s="8">
        <f t="shared" si="1"/>
        <v>1.0267121465810871E-7</v>
      </c>
    </row>
    <row r="35" spans="1:9" x14ac:dyDescent="0.3">
      <c r="A35" s="8">
        <v>6000.6153850000001</v>
      </c>
      <c r="B35">
        <v>6</v>
      </c>
      <c r="C35" s="13">
        <v>-146.02181999999999</v>
      </c>
      <c r="D35" s="13">
        <v>-162.90066999999999</v>
      </c>
      <c r="E35" s="8">
        <v>-149.147108</v>
      </c>
      <c r="F35" s="28">
        <f t="shared" ref="F35:F66" si="2">10^(E35/20)</f>
        <v>3.4885471730598083E-8</v>
      </c>
      <c r="H35" s="8">
        <f t="shared" ref="H35:H66" si="3">10^(D35/20)</f>
        <v>7.1608817147517586E-9</v>
      </c>
    </row>
    <row r="36" spans="1:9" x14ac:dyDescent="0.3">
      <c r="A36" s="8">
        <v>7000.7692310000002</v>
      </c>
      <c r="B36">
        <v>7</v>
      </c>
      <c r="C36" s="8">
        <v>-130.98698300000001</v>
      </c>
      <c r="D36" s="8">
        <v>-147.86583300000001</v>
      </c>
      <c r="E36" s="8">
        <v>-145.786665</v>
      </c>
      <c r="F36" s="28">
        <f t="shared" si="2"/>
        <v>5.1364935843220842E-8</v>
      </c>
      <c r="H36" s="8">
        <f t="shared" si="3"/>
        <v>4.0430429039225513E-8</v>
      </c>
    </row>
    <row r="37" spans="1:9" x14ac:dyDescent="0.3">
      <c r="A37" s="8">
        <v>8001.0769229999987</v>
      </c>
      <c r="B37">
        <v>8</v>
      </c>
      <c r="C37" s="8">
        <v>-147.13931199999999</v>
      </c>
      <c r="D37" s="8">
        <v>-164.01816099999999</v>
      </c>
      <c r="E37" s="8">
        <v>-149.93032099999999</v>
      </c>
      <c r="F37" s="28">
        <f t="shared" si="2"/>
        <v>3.1877477655481957E-8</v>
      </c>
      <c r="H37" s="8">
        <f t="shared" si="3"/>
        <v>6.2963947771573444E-9</v>
      </c>
    </row>
    <row r="38" spans="1:9" x14ac:dyDescent="0.3">
      <c r="A38" s="8">
        <v>9002.6153849999992</v>
      </c>
      <c r="B38">
        <v>9</v>
      </c>
      <c r="C38" s="8">
        <v>-149.130259</v>
      </c>
      <c r="D38" s="8">
        <v>-166.009109</v>
      </c>
      <c r="E38" s="8">
        <v>-151.25214800000001</v>
      </c>
      <c r="F38" s="28">
        <f t="shared" si="2"/>
        <v>2.7377425132829107E-8</v>
      </c>
      <c r="H38" s="8">
        <f t="shared" si="3"/>
        <v>5.0066190787632213E-9</v>
      </c>
    </row>
    <row r="39" spans="1:9" x14ac:dyDescent="0.3">
      <c r="A39" s="7">
        <v>2000.461538</v>
      </c>
      <c r="B39" s="4">
        <v>1</v>
      </c>
      <c r="C39" s="7">
        <v>16.789353999999999</v>
      </c>
      <c r="D39" s="3">
        <v>0</v>
      </c>
      <c r="E39" s="7">
        <v>16.791416000000002</v>
      </c>
      <c r="F39" s="24">
        <f t="shared" si="2"/>
        <v>6.9114759319237145</v>
      </c>
      <c r="G39" s="4"/>
      <c r="H39" s="7">
        <f t="shared" si="3"/>
        <v>1</v>
      </c>
      <c r="I39" s="4"/>
    </row>
    <row r="40" spans="1:9" x14ac:dyDescent="0.3">
      <c r="A40" s="7">
        <v>4001.0769230000001</v>
      </c>
      <c r="B40" s="4">
        <v>2</v>
      </c>
      <c r="C40" s="7">
        <v>-107.63972699999999</v>
      </c>
      <c r="D40" s="7">
        <v>-124.429081</v>
      </c>
      <c r="E40" s="5">
        <v>-129.67148</v>
      </c>
      <c r="F40" s="24">
        <f t="shared" si="2"/>
        <v>3.2841728008902264E-7</v>
      </c>
      <c r="G40" s="4"/>
      <c r="H40" s="7">
        <f t="shared" si="3"/>
        <v>6.0054554553807487E-7</v>
      </c>
      <c r="I40" s="4"/>
    </row>
    <row r="41" spans="1:9" x14ac:dyDescent="0.3">
      <c r="A41" s="7">
        <v>6001.5384620000004</v>
      </c>
      <c r="B41" s="4">
        <v>3</v>
      </c>
      <c r="C41" s="7">
        <v>-101.78955499999999</v>
      </c>
      <c r="D41" s="5">
        <v>-118.57890999999999</v>
      </c>
      <c r="E41" s="7">
        <v>-128.067093</v>
      </c>
      <c r="F41" s="24">
        <f t="shared" si="2"/>
        <v>3.950438908097716E-7</v>
      </c>
      <c r="G41" s="25"/>
      <c r="H41" s="7">
        <f t="shared" si="3"/>
        <v>1.1777537616124654E-6</v>
      </c>
      <c r="I41" s="25"/>
    </row>
    <row r="42" spans="1:9" x14ac:dyDescent="0.3">
      <c r="A42" s="3">
        <v>8002</v>
      </c>
      <c r="B42" s="4">
        <v>4</v>
      </c>
      <c r="C42" s="7">
        <v>-125.80327500000001</v>
      </c>
      <c r="D42" s="7">
        <v>-142.59262899999999</v>
      </c>
      <c r="E42" s="7">
        <v>-135.03650500000001</v>
      </c>
      <c r="F42" s="26">
        <f t="shared" si="2"/>
        <v>1.7708213523141378E-7</v>
      </c>
      <c r="G42" s="9">
        <f>20*LOG10(SQRT(SUMSQ(F40:F47))/F39)</f>
        <v>-141.85162474538186</v>
      </c>
      <c r="H42" s="27">
        <f t="shared" si="3"/>
        <v>7.4193959732315258E-8</v>
      </c>
      <c r="I42" s="32">
        <f>20*LOG10(SQRT(SUMSQ(H40:H47))/H39)</f>
        <v>-117.41938304755395</v>
      </c>
    </row>
    <row r="43" spans="1:9" x14ac:dyDescent="0.3">
      <c r="A43" s="5">
        <v>10002.615384999999</v>
      </c>
      <c r="B43" s="4">
        <v>5</v>
      </c>
      <c r="C43" s="7">
        <v>-116.149556</v>
      </c>
      <c r="D43" s="5">
        <v>-132.93890999999999</v>
      </c>
      <c r="E43" s="7">
        <v>-145.78796600000001</v>
      </c>
      <c r="F43" s="24">
        <f t="shared" si="2"/>
        <v>5.1357242816958929E-8</v>
      </c>
      <c r="G43" s="4"/>
      <c r="H43" s="7">
        <f t="shared" si="3"/>
        <v>2.2545221163825322E-7</v>
      </c>
      <c r="I43" s="4"/>
    </row>
    <row r="44" spans="1:9" x14ac:dyDescent="0.3">
      <c r="A44" s="5">
        <v>12003.230769</v>
      </c>
      <c r="B44" s="4">
        <v>6</v>
      </c>
      <c r="C44" s="7">
        <v>-143.904436</v>
      </c>
      <c r="D44" s="5">
        <v>-160.69379000000001</v>
      </c>
      <c r="E44" s="7">
        <v>-147.64117400000001</v>
      </c>
      <c r="F44" s="24">
        <f t="shared" si="2"/>
        <v>4.1489796051204674E-8</v>
      </c>
      <c r="G44" s="4"/>
      <c r="H44" s="7">
        <f t="shared" si="3"/>
        <v>9.2323125790691177E-9</v>
      </c>
      <c r="I44" s="4"/>
    </row>
    <row r="45" spans="1:9" x14ac:dyDescent="0.3">
      <c r="A45" s="5">
        <v>14003.692308</v>
      </c>
      <c r="B45" s="4">
        <v>7</v>
      </c>
      <c r="C45" s="7">
        <v>-124.74177899999999</v>
      </c>
      <c r="D45" s="7">
        <v>-141.53113300000001</v>
      </c>
      <c r="E45" s="5">
        <v>-144.17051000000001</v>
      </c>
      <c r="F45" s="24">
        <f t="shared" si="2"/>
        <v>6.1869199941686117E-8</v>
      </c>
      <c r="G45" s="4"/>
      <c r="H45" s="7">
        <f t="shared" si="3"/>
        <v>8.3838471137529802E-8</v>
      </c>
      <c r="I45" s="4"/>
    </row>
    <row r="46" spans="1:9" x14ac:dyDescent="0.3">
      <c r="A46" s="5">
        <v>16004.153845999999</v>
      </c>
      <c r="B46" s="4">
        <v>8</v>
      </c>
      <c r="C46" s="7">
        <v>-141.075886</v>
      </c>
      <c r="D46" s="5">
        <v>-157.86524</v>
      </c>
      <c r="E46" s="7">
        <v>-142.61131599999999</v>
      </c>
      <c r="F46" s="24">
        <f t="shared" si="2"/>
        <v>7.4034508919519793E-8</v>
      </c>
      <c r="G46" s="4"/>
      <c r="H46" s="7">
        <f t="shared" si="3"/>
        <v>1.2786097152303331E-8</v>
      </c>
      <c r="I46" s="4"/>
    </row>
    <row r="47" spans="1:9" x14ac:dyDescent="0.3">
      <c r="A47" s="5">
        <v>18004.615385000001</v>
      </c>
      <c r="B47" s="4">
        <v>9</v>
      </c>
      <c r="C47" s="7">
        <v>-139.64084199999999</v>
      </c>
      <c r="D47" s="7">
        <v>-156.430196</v>
      </c>
      <c r="E47" s="7">
        <v>-145.33069599999996</v>
      </c>
      <c r="F47" s="24">
        <f t="shared" si="2"/>
        <v>5.4133386908279481E-8</v>
      </c>
      <c r="G47" s="4"/>
      <c r="H47" s="7">
        <f t="shared" si="3"/>
        <v>1.5083085746698395E-8</v>
      </c>
      <c r="I47" s="4"/>
    </row>
    <row r="48" spans="1:9" x14ac:dyDescent="0.3">
      <c r="A48" s="8">
        <v>5000.1538460000002</v>
      </c>
      <c r="B48">
        <v>1</v>
      </c>
      <c r="C48" s="8">
        <v>16.953682000000001</v>
      </c>
      <c r="D48" s="12">
        <v>0</v>
      </c>
      <c r="E48" s="8">
        <v>16.953945000000001</v>
      </c>
      <c r="F48" s="28">
        <f t="shared" si="2"/>
        <v>7.0420199323330603</v>
      </c>
      <c r="H48" s="8">
        <f t="shared" si="3"/>
        <v>1</v>
      </c>
    </row>
    <row r="49" spans="1:9" x14ac:dyDescent="0.3">
      <c r="A49" s="13">
        <v>10000.307692</v>
      </c>
      <c r="B49">
        <v>2</v>
      </c>
      <c r="C49" s="8">
        <v>-97.902472000000003</v>
      </c>
      <c r="D49" s="8">
        <v>-114.856154</v>
      </c>
      <c r="E49" s="8">
        <v>-128.711331</v>
      </c>
      <c r="F49" s="28">
        <f t="shared" si="2"/>
        <v>3.6680348225543079E-7</v>
      </c>
      <c r="H49" s="8">
        <f t="shared" si="3"/>
        <v>1.8079744966093781E-6</v>
      </c>
    </row>
    <row r="50" spans="1:9" x14ac:dyDescent="0.3">
      <c r="A50" s="13">
        <v>15000.461538</v>
      </c>
      <c r="B50">
        <v>3</v>
      </c>
      <c r="C50" s="8">
        <v>-92.982985999999997</v>
      </c>
      <c r="D50" s="8">
        <v>-109.936668</v>
      </c>
      <c r="E50" s="8">
        <v>-120.299351</v>
      </c>
      <c r="F50" s="28">
        <f t="shared" si="2"/>
        <v>9.6612306393232394E-7</v>
      </c>
      <c r="G50" s="29"/>
      <c r="H50" s="8">
        <f t="shared" si="3"/>
        <v>3.1854192482101954E-6</v>
      </c>
      <c r="I50" s="29"/>
    </row>
    <row r="51" spans="1:9" x14ac:dyDescent="0.3">
      <c r="A51" s="13">
        <v>20000.461538</v>
      </c>
      <c r="B51">
        <v>4</v>
      </c>
      <c r="C51" s="8">
        <v>-118.311179</v>
      </c>
      <c r="D51" s="8">
        <v>-135.264861</v>
      </c>
      <c r="E51" s="8">
        <v>-128.03091699999999</v>
      </c>
      <c r="F51" s="30">
        <f t="shared" si="2"/>
        <v>3.9669264647922308E-7</v>
      </c>
      <c r="G51" s="15">
        <f>20*LOG10(SQRT(SUMSQ(F49:F56))/F48)</f>
        <v>-135.88068993165956</v>
      </c>
      <c r="H51" s="31">
        <f t="shared" si="3"/>
        <v>1.7248723085815845E-7</v>
      </c>
      <c r="I51" s="15">
        <f>20*LOG10(SQRT(SUMSQ(H49:H56))/H48)</f>
        <v>-108.5404865283102</v>
      </c>
    </row>
    <row r="52" spans="1:9" x14ac:dyDescent="0.3">
      <c r="A52" s="13">
        <v>25000.615385000001</v>
      </c>
      <c r="B52">
        <v>5</v>
      </c>
      <c r="C52" s="8">
        <v>-106.44704100000001</v>
      </c>
      <c r="D52" s="8">
        <v>-123.40072300000001</v>
      </c>
      <c r="E52" s="8">
        <v>-141.33351400000001</v>
      </c>
      <c r="F52" s="28">
        <f t="shared" si="2"/>
        <v>8.5767805868572107E-8</v>
      </c>
      <c r="H52" s="8">
        <f t="shared" si="3"/>
        <v>6.7602670163438792E-7</v>
      </c>
    </row>
    <row r="53" spans="1:9" x14ac:dyDescent="0.3">
      <c r="A53" s="13">
        <v>30000.769230999998</v>
      </c>
      <c r="B53">
        <v>6</v>
      </c>
      <c r="C53" s="8">
        <v>-135.48295700000003</v>
      </c>
      <c r="D53" s="8">
        <v>-152.43663900000001</v>
      </c>
      <c r="E53" s="8">
        <v>-142.284426</v>
      </c>
      <c r="F53" s="28">
        <f t="shared" si="2"/>
        <v>7.6873862041558751E-8</v>
      </c>
      <c r="H53" s="8">
        <f t="shared" si="3"/>
        <v>2.3887354239021939E-8</v>
      </c>
    </row>
    <row r="54" spans="1:9" x14ac:dyDescent="0.3">
      <c r="A54" s="13">
        <v>35000.923076999999</v>
      </c>
      <c r="B54">
        <v>7</v>
      </c>
      <c r="C54" s="8">
        <v>-113.57892200000001</v>
      </c>
      <c r="D54" s="8">
        <v>-130.53260399999999</v>
      </c>
      <c r="E54" s="8">
        <v>-137.867358</v>
      </c>
      <c r="F54" s="28">
        <f t="shared" si="2"/>
        <v>1.2782979722379109E-7</v>
      </c>
      <c r="H54" s="8">
        <f t="shared" si="3"/>
        <v>2.9741974709826827E-7</v>
      </c>
    </row>
    <row r="55" spans="1:9" x14ac:dyDescent="0.3">
      <c r="A55" s="13">
        <v>40001.076923000001</v>
      </c>
      <c r="B55">
        <v>8</v>
      </c>
      <c r="C55" s="13">
        <v>-135.02419</v>
      </c>
      <c r="D55" s="8">
        <v>-151.97787199999999</v>
      </c>
      <c r="E55" s="8">
        <v>-137.409885</v>
      </c>
      <c r="F55" s="28">
        <f t="shared" si="2"/>
        <v>1.3474285649976398E-7</v>
      </c>
      <c r="H55" s="8">
        <f t="shared" si="3"/>
        <v>2.5182938217183636E-8</v>
      </c>
    </row>
    <row r="56" spans="1:9" x14ac:dyDescent="0.3">
      <c r="A56" s="13">
        <v>45001.384615000003</v>
      </c>
      <c r="B56">
        <v>9</v>
      </c>
      <c r="C56" s="8">
        <v>-129.60123899999999</v>
      </c>
      <c r="D56" s="8">
        <v>-146.55492100000001</v>
      </c>
      <c r="E56" s="8">
        <v>-141.381585</v>
      </c>
      <c r="F56" s="28">
        <f t="shared" si="2"/>
        <v>8.5294445462364907E-8</v>
      </c>
      <c r="H56" s="8">
        <f t="shared" si="3"/>
        <v>4.7016895553314406E-8</v>
      </c>
    </row>
    <row r="57" spans="1:9" x14ac:dyDescent="0.3">
      <c r="A57" s="5">
        <v>10001.538462</v>
      </c>
      <c r="B57" s="4">
        <v>1</v>
      </c>
      <c r="C57" s="7">
        <v>16.780221999999998</v>
      </c>
      <c r="D57" s="3">
        <v>0</v>
      </c>
      <c r="E57" s="7">
        <v>16.776931999999995</v>
      </c>
      <c r="F57" s="24">
        <f t="shared" si="2"/>
        <v>6.899960427685599</v>
      </c>
      <c r="G57" s="4"/>
      <c r="H57" s="7">
        <f t="shared" si="3"/>
        <v>1</v>
      </c>
      <c r="I57" s="4"/>
    </row>
    <row r="58" spans="1:9" x14ac:dyDescent="0.3">
      <c r="A58" s="5">
        <v>20002.923076999999</v>
      </c>
      <c r="B58" s="4">
        <v>2</v>
      </c>
      <c r="C58" s="7">
        <v>-87.237286999999981</v>
      </c>
      <c r="D58" s="7">
        <v>-104.017509</v>
      </c>
      <c r="E58" s="7">
        <v>-118.129127</v>
      </c>
      <c r="F58" s="24">
        <f t="shared" si="2"/>
        <v>1.2403482835801787E-6</v>
      </c>
      <c r="G58" s="4"/>
      <c r="H58" s="7">
        <f t="shared" si="3"/>
        <v>6.2968674291997178E-6</v>
      </c>
      <c r="I58" s="4"/>
    </row>
    <row r="59" spans="1:9" x14ac:dyDescent="0.3">
      <c r="A59" s="5">
        <v>30004.461538</v>
      </c>
      <c r="B59" s="4">
        <v>3</v>
      </c>
      <c r="C59" s="7">
        <v>-84.077207999999999</v>
      </c>
      <c r="D59" s="5">
        <v>-100.85742999999999</v>
      </c>
      <c r="E59" s="7">
        <v>-117.12970799999999</v>
      </c>
      <c r="F59" s="24">
        <f t="shared" si="2"/>
        <v>1.3916005765279655E-6</v>
      </c>
      <c r="G59" s="25"/>
      <c r="H59" s="7">
        <f t="shared" si="3"/>
        <v>9.0600063068934549E-6</v>
      </c>
      <c r="I59" s="25"/>
    </row>
    <row r="60" spans="1:9" x14ac:dyDescent="0.3">
      <c r="A60" s="5">
        <v>40005.846153999999</v>
      </c>
      <c r="B60" s="4">
        <v>4</v>
      </c>
      <c r="C60" s="5">
        <v>-111.11132000000001</v>
      </c>
      <c r="D60" s="7">
        <v>-127.891542</v>
      </c>
      <c r="E60" s="7">
        <v>-122.175248</v>
      </c>
      <c r="F60" s="26">
        <f t="shared" si="2"/>
        <v>7.7846232679745152E-7</v>
      </c>
      <c r="G60" s="9">
        <f>20*LOG10(SQRT(SUMSQ(F58:F65))/F57)</f>
        <v>-130.53545585144118</v>
      </c>
      <c r="H60" s="27">
        <f t="shared" si="3"/>
        <v>4.0310937636104893E-7</v>
      </c>
      <c r="I60" s="33">
        <f>20*LOG10(SQRT(SUMSQ(H58:H65))/H57)</f>
        <v>-98.971934486941322</v>
      </c>
    </row>
    <row r="61" spans="1:9" x14ac:dyDescent="0.3">
      <c r="A61" s="5">
        <v>50007.384615000003</v>
      </c>
      <c r="B61" s="4">
        <v>5</v>
      </c>
      <c r="C61" s="7">
        <v>-97.418668999999994</v>
      </c>
      <c r="D61" s="7">
        <v>-114.198891</v>
      </c>
      <c r="E61" s="7">
        <v>-140.48818399999999</v>
      </c>
      <c r="F61" s="24">
        <f t="shared" si="2"/>
        <v>9.453460197410446E-8</v>
      </c>
      <c r="G61" s="4"/>
      <c r="H61" s="7">
        <f t="shared" si="3"/>
        <v>1.9500935685800644E-6</v>
      </c>
      <c r="I61" s="4"/>
    </row>
    <row r="62" spans="1:9" x14ac:dyDescent="0.3">
      <c r="A62" s="5">
        <v>60008.923076999999</v>
      </c>
      <c r="B62" s="4">
        <v>6</v>
      </c>
      <c r="C62" s="7">
        <v>-125.102847</v>
      </c>
      <c r="D62" s="7">
        <v>-141.88306900000001</v>
      </c>
      <c r="E62" s="7">
        <v>-133.302424</v>
      </c>
      <c r="F62" s="24">
        <f t="shared" si="2"/>
        <v>2.1621150509134261E-7</v>
      </c>
      <c r="G62" s="4"/>
      <c r="H62" s="7">
        <f t="shared" si="3"/>
        <v>8.0509392574649335E-8</v>
      </c>
      <c r="I62" s="4"/>
    </row>
    <row r="63" spans="1:9" x14ac:dyDescent="0.3">
      <c r="A63" s="5">
        <v>70010.461538000003</v>
      </c>
      <c r="B63" s="4">
        <v>7</v>
      </c>
      <c r="C63" s="5">
        <v>-103.21705</v>
      </c>
      <c r="D63" s="7">
        <v>-119.997271</v>
      </c>
      <c r="E63" s="7">
        <v>-132.947213</v>
      </c>
      <c r="F63" s="24">
        <f t="shared" si="2"/>
        <v>2.2523680073961436E-7</v>
      </c>
      <c r="G63" s="4"/>
      <c r="H63" s="7">
        <f t="shared" si="3"/>
        <v>1.000314237098075E-6</v>
      </c>
      <c r="I63" s="4"/>
    </row>
    <row r="64" spans="1:9" x14ac:dyDescent="0.3">
      <c r="A64" s="5">
        <v>80012.153846000001</v>
      </c>
      <c r="B64" s="4">
        <v>8</v>
      </c>
      <c r="C64" s="7">
        <v>-140.384366</v>
      </c>
      <c r="D64" s="7">
        <v>-157.16458800000001</v>
      </c>
      <c r="E64" s="7">
        <v>-137.10724200000001</v>
      </c>
      <c r="F64" s="24">
        <f t="shared" si="2"/>
        <v>1.3952046017251276E-7</v>
      </c>
      <c r="G64" s="4"/>
      <c r="H64" s="7">
        <f t="shared" si="3"/>
        <v>1.386023519811668E-8</v>
      </c>
      <c r="I64" s="4"/>
    </row>
    <row r="65" spans="1:9" x14ac:dyDescent="0.3">
      <c r="A65" s="5">
        <v>90013.846153999999</v>
      </c>
      <c r="B65" s="4">
        <v>9</v>
      </c>
      <c r="C65" s="5">
        <v>-130.62948</v>
      </c>
      <c r="D65" s="7">
        <v>-147.40970200000001</v>
      </c>
      <c r="E65" s="7">
        <v>-147.45898199999999</v>
      </c>
      <c r="F65" s="24">
        <f t="shared" si="2"/>
        <v>4.2369262058477889E-8</v>
      </c>
      <c r="G65" s="4"/>
      <c r="H65" s="7">
        <f t="shared" si="3"/>
        <v>4.261033023047809E-8</v>
      </c>
      <c r="I65" s="4"/>
    </row>
    <row r="66" spans="1:9" x14ac:dyDescent="0.3">
      <c r="A66" s="12">
        <v>20006</v>
      </c>
      <c r="B66">
        <v>1</v>
      </c>
      <c r="C66" s="8">
        <v>16.900198</v>
      </c>
      <c r="D66" s="12">
        <v>0</v>
      </c>
      <c r="E66" s="8">
        <v>16.880948</v>
      </c>
      <c r="F66" s="28">
        <f t="shared" si="2"/>
        <v>6.9830861508951587</v>
      </c>
      <c r="H66" s="8">
        <f t="shared" si="3"/>
        <v>1</v>
      </c>
    </row>
    <row r="67" spans="1:9" x14ac:dyDescent="0.3">
      <c r="A67" s="13">
        <v>40012.153846000001</v>
      </c>
      <c r="B67">
        <v>2</v>
      </c>
      <c r="C67" s="8">
        <v>-75.828571999999994</v>
      </c>
      <c r="D67" s="13">
        <v>-92.728769999999997</v>
      </c>
      <c r="E67" s="13">
        <v>-112.83653</v>
      </c>
      <c r="F67" s="28">
        <f t="shared" ref="F67:F98" si="4">10^(E67/20)</f>
        <v>2.281253247263224E-6</v>
      </c>
      <c r="G67" s="15">
        <f>20*LOG10(SQRT(SUMSQ(F67:F69))/F66)</f>
        <v>-125.74272113659245</v>
      </c>
      <c r="H67" s="8">
        <f t="shared" ref="H67:H98" si="5">10^(D67/20)</f>
        <v>2.3097315144929974E-5</v>
      </c>
      <c r="I67" s="34">
        <f>20*LOG10(SQRT(SUMSQ(H67:H69))/H66)</f>
        <v>-88.516218929776969</v>
      </c>
    </row>
    <row r="68" spans="1:9" x14ac:dyDescent="0.3">
      <c r="A68" s="13">
        <v>60018.153846000001</v>
      </c>
      <c r="B68">
        <v>3</v>
      </c>
      <c r="C68" s="8">
        <v>-73.69053599999998</v>
      </c>
      <c r="D68" s="8">
        <v>-90.590733999999998</v>
      </c>
      <c r="E68" s="8">
        <v>-112.515624</v>
      </c>
      <c r="F68" s="28">
        <f t="shared" si="4"/>
        <v>2.3671119614313243E-6</v>
      </c>
      <c r="H68" s="8">
        <f t="shared" si="5"/>
        <v>2.9543592201799522E-5</v>
      </c>
    </row>
    <row r="69" spans="1:9" x14ac:dyDescent="0.3">
      <c r="A69" s="13">
        <v>80024.153846000001</v>
      </c>
      <c r="B69">
        <v>4</v>
      </c>
      <c r="C69" s="8">
        <v>-103.266299</v>
      </c>
      <c r="D69" s="8">
        <v>-120.16649700000001</v>
      </c>
      <c r="E69" s="8">
        <v>-116.59743700000001</v>
      </c>
      <c r="F69" s="28">
        <f t="shared" si="4"/>
        <v>1.4795449023679331E-6</v>
      </c>
      <c r="H69" s="8">
        <f t="shared" si="5"/>
        <v>9.8101387526928326E-7</v>
      </c>
    </row>
    <row r="70" spans="1:9" x14ac:dyDescent="0.3">
      <c r="A70" s="3">
        <v>20006</v>
      </c>
      <c r="B70" s="4">
        <v>1</v>
      </c>
      <c r="C70" s="7">
        <v>16.991437000000001</v>
      </c>
      <c r="D70" s="3">
        <v>0</v>
      </c>
      <c r="E70" s="7">
        <v>16.978194999999999</v>
      </c>
      <c r="F70" s="24">
        <f t="shared" si="4"/>
        <v>7.0617079085932648</v>
      </c>
      <c r="G70" s="4"/>
      <c r="H70" s="7">
        <f t="shared" si="5"/>
        <v>1</v>
      </c>
      <c r="I70" s="4"/>
    </row>
    <row r="71" spans="1:9" x14ac:dyDescent="0.3">
      <c r="A71" s="3">
        <v>40012</v>
      </c>
      <c r="B71" s="4">
        <v>2</v>
      </c>
      <c r="C71" s="5">
        <v>-75.535539999999983</v>
      </c>
      <c r="D71" s="7">
        <v>-92.526977000000002</v>
      </c>
      <c r="E71" s="5">
        <v>-114.32119</v>
      </c>
      <c r="F71" s="24">
        <f t="shared" si="4"/>
        <v>1.922828276057916E-6</v>
      </c>
      <c r="G71" s="4"/>
      <c r="H71" s="7">
        <f t="shared" si="5"/>
        <v>2.3640200194443722E-5</v>
      </c>
      <c r="I71" s="4"/>
    </row>
    <row r="72" spans="1:9" x14ac:dyDescent="0.3">
      <c r="A72" s="3">
        <v>60018</v>
      </c>
      <c r="B72" s="4">
        <v>3</v>
      </c>
      <c r="C72" s="7">
        <v>-73.656120999999999</v>
      </c>
      <c r="D72" s="7">
        <v>-90.647558000000004</v>
      </c>
      <c r="E72" s="7">
        <v>-112.633484</v>
      </c>
      <c r="F72" s="24">
        <f t="shared" si="4"/>
        <v>2.335209237806383E-6</v>
      </c>
      <c r="G72" s="25"/>
      <c r="H72" s="7">
        <f t="shared" si="5"/>
        <v>2.9350945770105737E-5</v>
      </c>
      <c r="I72" s="25"/>
    </row>
    <row r="73" spans="1:9" x14ac:dyDescent="0.3">
      <c r="A73" s="3">
        <v>80024</v>
      </c>
      <c r="B73" s="4">
        <v>4</v>
      </c>
      <c r="C73" s="7">
        <v>-103.363968</v>
      </c>
      <c r="D73" s="7">
        <v>-120.35540399999999</v>
      </c>
      <c r="E73" s="7">
        <v>-116.385361</v>
      </c>
      <c r="F73" s="26">
        <f t="shared" si="4"/>
        <v>1.5161143208334116E-6</v>
      </c>
      <c r="G73" s="9">
        <f>20*LOG10(SQRT(SUMSQ(F71:F78))/F70)</f>
        <v>-125.89430451849879</v>
      </c>
      <c r="H73" s="27">
        <f t="shared" si="5"/>
        <v>9.5990841739340472E-7</v>
      </c>
      <c r="I73" s="33">
        <f>20*LOG10(SQRT(SUMSQ(H71:H78))/H70)</f>
        <v>-88.333037420985221</v>
      </c>
    </row>
    <row r="74" spans="1:9" x14ac:dyDescent="0.3">
      <c r="A74" s="3">
        <v>100030</v>
      </c>
      <c r="B74" s="4">
        <v>5</v>
      </c>
      <c r="C74" s="7">
        <v>-88.37230599999998</v>
      </c>
      <c r="D74" s="7">
        <v>-105.36374300000001</v>
      </c>
      <c r="E74" s="7">
        <v>-127.087126</v>
      </c>
      <c r="F74" s="24">
        <f t="shared" si="4"/>
        <v>4.4222541686980093E-7</v>
      </c>
      <c r="G74" s="4"/>
      <c r="H74" s="7">
        <f t="shared" si="5"/>
        <v>5.3927818193616158E-6</v>
      </c>
      <c r="I74" s="4"/>
    </row>
    <row r="75" spans="1:9" x14ac:dyDescent="0.3">
      <c r="A75" s="3">
        <v>120036</v>
      </c>
      <c r="B75" s="4">
        <v>6</v>
      </c>
      <c r="C75" s="7">
        <v>-113.258268</v>
      </c>
      <c r="D75" s="7">
        <v>-130.24970500000001</v>
      </c>
      <c r="E75" s="7">
        <v>-123.839747</v>
      </c>
      <c r="F75" s="24">
        <f t="shared" si="4"/>
        <v>6.4270643760559738E-7</v>
      </c>
      <c r="G75" s="4"/>
      <c r="H75" s="7">
        <f t="shared" si="5"/>
        <v>3.0726617207051529E-7</v>
      </c>
      <c r="I75" s="4"/>
    </row>
    <row r="76" spans="1:9" x14ac:dyDescent="0.3">
      <c r="A76" s="3">
        <v>140042</v>
      </c>
      <c r="B76" s="4">
        <v>7</v>
      </c>
      <c r="C76" s="7">
        <v>-91.488065000000006</v>
      </c>
      <c r="D76" s="7">
        <v>-108.479502</v>
      </c>
      <c r="E76" s="7">
        <v>-125.57712100000001</v>
      </c>
      <c r="F76" s="24">
        <f t="shared" si="4"/>
        <v>5.2619164745939681E-7</v>
      </c>
      <c r="G76" s="4"/>
      <c r="H76" s="7">
        <f t="shared" si="5"/>
        <v>3.7672539767762145E-6</v>
      </c>
      <c r="I76" s="4"/>
    </row>
    <row r="77" spans="1:9" x14ac:dyDescent="0.3">
      <c r="A77" s="3">
        <v>160048.5</v>
      </c>
      <c r="B77" s="4">
        <v>8</v>
      </c>
      <c r="C77" s="7">
        <v>-118.519552</v>
      </c>
      <c r="D77" s="7">
        <v>-135.510989</v>
      </c>
      <c r="E77" s="7">
        <v>-124.375229</v>
      </c>
      <c r="F77" s="24">
        <f t="shared" si="4"/>
        <v>6.042804584159544E-7</v>
      </c>
      <c r="G77" s="4"/>
      <c r="H77" s="7">
        <f t="shared" si="5"/>
        <v>1.6766814131838163E-7</v>
      </c>
      <c r="I77" s="4"/>
    </row>
    <row r="78" spans="1:9" x14ac:dyDescent="0.3">
      <c r="A78" s="3">
        <v>180054.5</v>
      </c>
      <c r="B78" s="4">
        <v>9</v>
      </c>
      <c r="C78" s="5">
        <v>-97.897819999999996</v>
      </c>
      <c r="D78" s="7">
        <v>-114.889257</v>
      </c>
      <c r="E78" s="7">
        <v>-128.69481300000001</v>
      </c>
      <c r="F78" s="24">
        <f t="shared" si="4"/>
        <v>3.675016979717804E-7</v>
      </c>
      <c r="G78" s="4"/>
      <c r="H78" s="7">
        <f t="shared" si="5"/>
        <v>1.8010971955729679E-6</v>
      </c>
      <c r="I78" s="4"/>
    </row>
    <row r="79" spans="1:9" x14ac:dyDescent="0.3">
      <c r="A79" s="12">
        <v>49985.5</v>
      </c>
      <c r="B79">
        <v>1</v>
      </c>
      <c r="C79" s="8">
        <v>16.788187000000001</v>
      </c>
      <c r="D79" s="12">
        <v>0</v>
      </c>
      <c r="E79" s="8">
        <v>16.594061</v>
      </c>
      <c r="F79" s="28">
        <f t="shared" si="4"/>
        <v>6.7562085987478095</v>
      </c>
      <c r="G79" s="29"/>
      <c r="H79" s="8">
        <f t="shared" si="5"/>
        <v>1</v>
      </c>
      <c r="I79" s="29"/>
    </row>
    <row r="80" spans="1:9" x14ac:dyDescent="0.3">
      <c r="A80" s="12">
        <v>99970.5</v>
      </c>
      <c r="B80">
        <v>2</v>
      </c>
      <c r="C80" s="8">
        <v>-60.074092</v>
      </c>
      <c r="D80" s="8">
        <v>-76.862279000000001</v>
      </c>
      <c r="E80" s="8">
        <v>-105.51530700000001</v>
      </c>
      <c r="F80" s="30">
        <f t="shared" si="4"/>
        <v>5.2994969921879421E-6</v>
      </c>
      <c r="G80" s="15">
        <f>20*LOG10(SQRT(SUMSQ(F80:F82))/F79)</f>
        <v>-118.74109690733658</v>
      </c>
      <c r="H80" s="31">
        <f t="shared" si="5"/>
        <v>1.4351128396588634E-4</v>
      </c>
      <c r="I80" s="34">
        <f>20*LOG10(SQRT(SUMSQ(H80:H82))/H79)</f>
        <v>-73.001149738721708</v>
      </c>
    </row>
    <row r="81" spans="1:9" x14ac:dyDescent="0.3">
      <c r="A81" s="12">
        <v>149956</v>
      </c>
      <c r="B81">
        <v>3</v>
      </c>
      <c r="C81" s="8">
        <v>-58.517974000000002</v>
      </c>
      <c r="D81" s="8">
        <v>-75.306161000000003</v>
      </c>
      <c r="E81" s="8">
        <v>-106.742485</v>
      </c>
      <c r="F81" s="28">
        <f t="shared" si="4"/>
        <v>4.6012491476008112E-6</v>
      </c>
      <c r="H81" s="8">
        <f t="shared" si="5"/>
        <v>1.7166902873181922E-4</v>
      </c>
    </row>
    <row r="82" spans="1:9" x14ac:dyDescent="0.3">
      <c r="A82" s="12">
        <v>199941</v>
      </c>
      <c r="B82">
        <v>4</v>
      </c>
      <c r="C82" s="13">
        <v>-87.22251</v>
      </c>
      <c r="D82" s="8">
        <v>-104.01069699999999</v>
      </c>
      <c r="E82" s="8">
        <v>-109.303636</v>
      </c>
      <c r="F82" s="28">
        <f t="shared" si="4"/>
        <v>3.4262433056178675E-6</v>
      </c>
      <c r="H82" s="8">
        <f t="shared" si="5"/>
        <v>6.3018077504852422E-6</v>
      </c>
    </row>
    <row r="83" spans="1:9" x14ac:dyDescent="0.3">
      <c r="A83" s="3">
        <v>49985</v>
      </c>
      <c r="B83" s="4">
        <v>1</v>
      </c>
      <c r="C83" s="7">
        <v>16.965627000000001</v>
      </c>
      <c r="D83" s="3">
        <v>0</v>
      </c>
      <c r="E83" s="7">
        <v>16.881195999999999</v>
      </c>
      <c r="F83" s="24">
        <f t="shared" si="4"/>
        <v>6.9832855352024783</v>
      </c>
      <c r="G83" s="4"/>
      <c r="H83" s="7">
        <f t="shared" si="5"/>
        <v>1</v>
      </c>
      <c r="I83" s="4"/>
    </row>
    <row r="84" spans="1:9" x14ac:dyDescent="0.3">
      <c r="A84" s="3">
        <v>99971</v>
      </c>
      <c r="B84" s="4">
        <v>2</v>
      </c>
      <c r="C84" s="7">
        <v>-60.353518000000001</v>
      </c>
      <c r="D84" s="7">
        <v>-77.319145000000006</v>
      </c>
      <c r="E84" s="7">
        <v>-105.855352</v>
      </c>
      <c r="F84" s="24">
        <f t="shared" si="4"/>
        <v>5.096034975254964E-6</v>
      </c>
      <c r="G84" s="4"/>
      <c r="H84" s="7">
        <f t="shared" si="5"/>
        <v>1.3615787035674247E-4</v>
      </c>
      <c r="I84" s="4"/>
    </row>
    <row r="85" spans="1:9" x14ac:dyDescent="0.3">
      <c r="A85" s="3">
        <v>149956</v>
      </c>
      <c r="B85" s="4">
        <v>3</v>
      </c>
      <c r="C85" s="7">
        <v>-58.387878999999998</v>
      </c>
      <c r="D85" s="7">
        <v>-75.353505999999982</v>
      </c>
      <c r="E85" s="7">
        <v>-106.519834</v>
      </c>
      <c r="F85" s="24">
        <f t="shared" si="4"/>
        <v>4.7207206316197109E-6</v>
      </c>
      <c r="G85" s="25"/>
      <c r="H85" s="7">
        <f t="shared" si="5"/>
        <v>1.7073584173944492E-4</v>
      </c>
      <c r="I85" s="25"/>
    </row>
    <row r="86" spans="1:9" x14ac:dyDescent="0.3">
      <c r="A86" s="3">
        <v>199941</v>
      </c>
      <c r="B86" s="4">
        <v>4</v>
      </c>
      <c r="C86" s="7">
        <v>-87.090241000000006</v>
      </c>
      <c r="D86" s="7">
        <v>-104.055868</v>
      </c>
      <c r="E86" s="7">
        <v>-109.166327</v>
      </c>
      <c r="F86" s="26">
        <f t="shared" si="4"/>
        <v>3.4808367058709411E-6</v>
      </c>
      <c r="G86" s="9">
        <f>20*LOG10(SQRT(SUMSQ(F84:F91))/F83)</f>
        <v>-118.00528478015383</v>
      </c>
      <c r="H86" s="27">
        <f t="shared" si="5"/>
        <v>6.2691202462443637E-6</v>
      </c>
      <c r="I86" s="33">
        <f>20*LOG10(SQRT(SUMSQ(H84:H91))/H83)</f>
        <v>-73.086956453125239</v>
      </c>
    </row>
    <row r="87" spans="1:9" x14ac:dyDescent="0.3">
      <c r="A87" s="3">
        <v>249926</v>
      </c>
      <c r="B87" s="4">
        <v>5</v>
      </c>
      <c r="C87" s="7">
        <v>-74.830082000000004</v>
      </c>
      <c r="D87" s="7">
        <v>-91.795709000000002</v>
      </c>
      <c r="E87" s="7">
        <v>-113.516873</v>
      </c>
      <c r="F87" s="24">
        <f t="shared" si="4"/>
        <v>2.1093874120854412E-6</v>
      </c>
      <c r="G87" s="4"/>
      <c r="H87" s="7">
        <f t="shared" si="5"/>
        <v>2.5716659224579336E-5</v>
      </c>
      <c r="I87" s="4"/>
    </row>
    <row r="88" spans="1:9" x14ac:dyDescent="0.3">
      <c r="A88" s="3">
        <v>299912</v>
      </c>
      <c r="B88" s="4">
        <v>6</v>
      </c>
      <c r="C88" s="7">
        <v>-89.680828000000005</v>
      </c>
      <c r="D88" s="7">
        <v>-106.646455</v>
      </c>
      <c r="E88" s="7">
        <v>-112.898653</v>
      </c>
      <c r="F88" s="24">
        <f t="shared" si="4"/>
        <v>2.2649955338409399E-6</v>
      </c>
      <c r="G88" s="4"/>
      <c r="H88" s="7">
        <f t="shared" si="5"/>
        <v>4.6524021740600938E-6</v>
      </c>
      <c r="I88" s="4"/>
    </row>
    <row r="89" spans="1:9" x14ac:dyDescent="0.3">
      <c r="A89" s="3">
        <v>349897</v>
      </c>
      <c r="B89" s="4">
        <v>7</v>
      </c>
      <c r="C89" s="5">
        <v>-77.029740000000004</v>
      </c>
      <c r="D89" s="7">
        <v>-93.995367000000002</v>
      </c>
      <c r="E89" s="7">
        <v>-115.48041600000001</v>
      </c>
      <c r="F89" s="24">
        <f t="shared" si="4"/>
        <v>1.6825934733959455E-6</v>
      </c>
      <c r="G89" s="4"/>
      <c r="H89" s="7">
        <f t="shared" si="5"/>
        <v>1.9963268594759639E-5</v>
      </c>
      <c r="I89" s="4"/>
    </row>
    <row r="90" spans="1:9" x14ac:dyDescent="0.3">
      <c r="A90" s="3">
        <v>399882</v>
      </c>
      <c r="B90" s="4">
        <v>8</v>
      </c>
      <c r="C90" s="7">
        <v>-93.586566000000005</v>
      </c>
      <c r="D90" s="7">
        <v>-110.552194</v>
      </c>
      <c r="E90" s="5">
        <v>-114.97962</v>
      </c>
      <c r="F90" s="24">
        <f t="shared" si="4"/>
        <v>1.782456746650658E-6</v>
      </c>
      <c r="G90" s="4"/>
      <c r="H90" s="7">
        <f t="shared" si="5"/>
        <v>2.9674970780623477E-6</v>
      </c>
      <c r="I90" s="4"/>
    </row>
    <row r="91" spans="1:9" x14ac:dyDescent="0.3">
      <c r="A91" s="3">
        <v>449867</v>
      </c>
      <c r="B91" s="4">
        <v>9</v>
      </c>
      <c r="C91" s="7">
        <v>-78.178892000000005</v>
      </c>
      <c r="D91" s="7">
        <v>-95.144519000000003</v>
      </c>
      <c r="E91" s="7">
        <v>-119.07857199999999</v>
      </c>
      <c r="F91" s="24">
        <f t="shared" si="4"/>
        <v>1.1119145160896864E-6</v>
      </c>
      <c r="G91" s="4"/>
      <c r="H91" s="7">
        <f t="shared" si="5"/>
        <v>1.7489365342428742E-5</v>
      </c>
      <c r="I91" s="4"/>
    </row>
    <row r="92" spans="1:9" x14ac:dyDescent="0.3">
      <c r="A92" s="12">
        <v>100026</v>
      </c>
      <c r="B92">
        <v>1</v>
      </c>
      <c r="C92" s="8">
        <v>17.304665</v>
      </c>
      <c r="D92" s="12">
        <v>0</v>
      </c>
      <c r="E92" s="8">
        <v>16.989995</v>
      </c>
      <c r="F92" s="28">
        <f t="shared" si="4"/>
        <v>7.0713079362397799</v>
      </c>
      <c r="G92" s="29"/>
      <c r="H92" s="8">
        <f t="shared" si="5"/>
        <v>1</v>
      </c>
      <c r="I92" s="29"/>
    </row>
    <row r="93" spans="1:9" x14ac:dyDescent="0.3">
      <c r="A93" s="12">
        <v>200052</v>
      </c>
      <c r="B93">
        <v>2</v>
      </c>
      <c r="C93" s="8">
        <v>-47.925598000000001</v>
      </c>
      <c r="D93" s="8">
        <v>-65.23026400000002</v>
      </c>
      <c r="E93" s="8">
        <v>-102.03918299999999</v>
      </c>
      <c r="F93" s="30">
        <f t="shared" si="4"/>
        <v>7.9075300320464384E-6</v>
      </c>
      <c r="G93" s="15">
        <f>20*LOG10(SQRT(SUMSQ(F93:F95))/F92)</f>
        <v>-112.05433778794331</v>
      </c>
      <c r="H93" s="31">
        <f t="shared" si="5"/>
        <v>5.4762945599177103E-4</v>
      </c>
      <c r="I93" s="34">
        <f>20*LOG10(SQRT(SUMSQ(H93:H95))/H92)</f>
        <v>-46.156371556379099</v>
      </c>
    </row>
    <row r="94" spans="1:9" x14ac:dyDescent="0.3">
      <c r="A94" s="12">
        <v>300078</v>
      </c>
      <c r="B94">
        <v>3</v>
      </c>
      <c r="C94" s="8">
        <v>-28.905932</v>
      </c>
      <c r="D94" s="8">
        <v>-46.210597</v>
      </c>
      <c r="E94" s="8">
        <v>-96.759112999999999</v>
      </c>
      <c r="F94" s="28">
        <f t="shared" si="4"/>
        <v>1.4522599142881302E-5</v>
      </c>
      <c r="H94" s="8">
        <f t="shared" si="5"/>
        <v>4.8918164146560805E-3</v>
      </c>
    </row>
    <row r="95" spans="1:9" x14ac:dyDescent="0.3">
      <c r="A95" s="12">
        <v>400104</v>
      </c>
      <c r="B95">
        <v>4</v>
      </c>
      <c r="C95" s="8">
        <v>-73.885611999999981</v>
      </c>
      <c r="D95" s="8">
        <v>-91.190278000000006</v>
      </c>
      <c r="E95" s="8">
        <v>-104.185929</v>
      </c>
      <c r="F95" s="28">
        <f t="shared" si="4"/>
        <v>6.175946852568009E-6</v>
      </c>
      <c r="H95" s="8">
        <f t="shared" si="5"/>
        <v>2.7573132005530854E-5</v>
      </c>
    </row>
    <row r="96" spans="1:9" x14ac:dyDescent="0.3">
      <c r="A96" s="3">
        <v>100026</v>
      </c>
      <c r="B96" s="4">
        <v>1</v>
      </c>
      <c r="C96" s="7">
        <v>17.303294999999999</v>
      </c>
      <c r="D96" s="3">
        <v>0</v>
      </c>
      <c r="E96" s="7">
        <v>16.984351</v>
      </c>
      <c r="F96" s="24">
        <f t="shared" si="4"/>
        <v>7.0667145670210942</v>
      </c>
      <c r="G96" s="4"/>
      <c r="H96" s="7">
        <f t="shared" si="5"/>
        <v>1</v>
      </c>
      <c r="I96" s="4"/>
    </row>
    <row r="97" spans="1:9" x14ac:dyDescent="0.3">
      <c r="A97" s="3">
        <v>200052</v>
      </c>
      <c r="B97" s="4">
        <v>2</v>
      </c>
      <c r="C97" s="7">
        <v>-47.934769000000003</v>
      </c>
      <c r="D97" s="7">
        <v>-65.238063999999994</v>
      </c>
      <c r="E97" s="7">
        <v>-102.126414</v>
      </c>
      <c r="F97" s="24">
        <f t="shared" si="4"/>
        <v>7.8285134127990659E-6</v>
      </c>
      <c r="G97" s="4"/>
      <c r="H97" s="7">
        <f t="shared" si="5"/>
        <v>5.4713790100048619E-4</v>
      </c>
      <c r="I97" s="4"/>
    </row>
    <row r="98" spans="1:9" x14ac:dyDescent="0.3">
      <c r="A98" s="3">
        <v>300078</v>
      </c>
      <c r="B98" s="4">
        <v>3</v>
      </c>
      <c r="C98" s="7">
        <v>-28.910384000000001</v>
      </c>
      <c r="D98" s="7">
        <v>-46.213678999999999</v>
      </c>
      <c r="E98" s="7">
        <v>-96.722763</v>
      </c>
      <c r="F98" s="24">
        <f t="shared" si="4"/>
        <v>1.4583502821511356E-5</v>
      </c>
      <c r="G98" s="25"/>
      <c r="H98" s="7">
        <f t="shared" si="5"/>
        <v>4.8900809673575714E-3</v>
      </c>
      <c r="I98" s="25"/>
    </row>
    <row r="99" spans="1:9" x14ac:dyDescent="0.3">
      <c r="A99" s="3">
        <v>400104</v>
      </c>
      <c r="B99" s="4">
        <v>4</v>
      </c>
      <c r="C99" s="7">
        <v>-73.891705000000002</v>
      </c>
      <c r="D99" s="3">
        <v>-91.194999999999993</v>
      </c>
      <c r="E99" s="7">
        <v>-104.16255200000001</v>
      </c>
      <c r="F99" s="26">
        <f t="shared" ref="F99:F104" si="6">10^(E99/20)</f>
        <v>6.1925910391632529E-6</v>
      </c>
      <c r="G99" s="9">
        <f>20*LOG10(SQRT(SUMSQ(F97:F104))/F96)</f>
        <v>-108.92898646017949</v>
      </c>
      <c r="H99" s="27">
        <f t="shared" ref="H99:H104" si="7">10^(D99/20)</f>
        <v>2.7558146212469909E-5</v>
      </c>
      <c r="I99" s="33">
        <f>20*LOG10(SQRT(SUMSQ(H97:H104))/H96)</f>
        <v>-45.006206614518717</v>
      </c>
    </row>
    <row r="100" spans="1:9" x14ac:dyDescent="0.3">
      <c r="A100" s="3">
        <v>500130</v>
      </c>
      <c r="B100" s="4">
        <v>5</v>
      </c>
      <c r="C100" s="7">
        <v>-34.775772000000003</v>
      </c>
      <c r="D100" s="7">
        <v>-52.079067000000002</v>
      </c>
      <c r="E100" s="7">
        <v>-96.522482999999994</v>
      </c>
      <c r="F100" s="24">
        <f t="shared" si="6"/>
        <v>1.4923677314921975E-5</v>
      </c>
      <c r="G100" s="4"/>
      <c r="H100" s="7">
        <f t="shared" si="7"/>
        <v>2.4891246747299452E-3</v>
      </c>
      <c r="I100" s="4"/>
    </row>
    <row r="101" spans="1:9" x14ac:dyDescent="0.3">
      <c r="A101" s="3">
        <v>600156</v>
      </c>
      <c r="B101" s="4">
        <v>6</v>
      </c>
      <c r="C101" s="7">
        <v>-69.063771000000003</v>
      </c>
      <c r="D101" s="7">
        <v>-86.367065999999994</v>
      </c>
      <c r="E101" s="7">
        <v>-103.741934</v>
      </c>
      <c r="F101" s="24">
        <f t="shared" si="6"/>
        <v>6.4998494859491706E-6</v>
      </c>
      <c r="G101" s="4"/>
      <c r="H101" s="7">
        <f t="shared" si="7"/>
        <v>4.8044834311020575E-5</v>
      </c>
      <c r="I101" s="4"/>
    </row>
    <row r="102" spans="1:9" x14ac:dyDescent="0.3">
      <c r="A102" s="3">
        <v>700182</v>
      </c>
      <c r="B102" s="4">
        <v>7</v>
      </c>
      <c r="C102" s="7">
        <v>-42.602173999999998</v>
      </c>
      <c r="D102" s="7">
        <v>-59.905468999999997</v>
      </c>
      <c r="E102" s="7">
        <v>-105.917717</v>
      </c>
      <c r="F102" s="24">
        <f t="shared" si="6"/>
        <v>5.0595763047592899E-6</v>
      </c>
      <c r="G102" s="4"/>
      <c r="H102" s="7">
        <f t="shared" si="7"/>
        <v>1.0109427219344199E-3</v>
      </c>
      <c r="I102" s="4"/>
    </row>
    <row r="103" spans="1:9" x14ac:dyDescent="0.3">
      <c r="A103" s="3">
        <v>800208</v>
      </c>
      <c r="B103" s="4">
        <v>8</v>
      </c>
      <c r="C103" s="7">
        <v>-69.141292000000007</v>
      </c>
      <c r="D103" s="7">
        <v>-86.444586999999999</v>
      </c>
      <c r="E103" s="7">
        <v>-105.416274</v>
      </c>
      <c r="F103" s="24">
        <f t="shared" si="6"/>
        <v>5.3602654836910209E-6</v>
      </c>
      <c r="G103" s="4"/>
      <c r="H103" s="7">
        <f t="shared" si="7"/>
        <v>4.7617945102964153E-5</v>
      </c>
      <c r="I103" s="4"/>
    </row>
    <row r="104" spans="1:9" x14ac:dyDescent="0.3">
      <c r="A104" s="3">
        <v>900234</v>
      </c>
      <c r="B104" s="4">
        <v>9</v>
      </c>
      <c r="C104" s="7">
        <v>-51.165201000000003</v>
      </c>
      <c r="D104" s="7">
        <v>-68.468496000000002</v>
      </c>
      <c r="E104" s="7">
        <v>-111.281896</v>
      </c>
      <c r="F104" s="24">
        <f t="shared" si="6"/>
        <v>2.7283821527213176E-6</v>
      </c>
      <c r="G104" s="4"/>
      <c r="H104" s="7">
        <f t="shared" si="7"/>
        <v>3.7720305372505452E-4</v>
      </c>
      <c r="I104" s="4"/>
    </row>
  </sheetData>
  <mergeCells count="2">
    <mergeCell ref="F1:G1"/>
    <mergeCell ref="H1:I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4"/>
  <sheetViews>
    <sheetView workbookViewId="0">
      <pane ySplit="2" topLeftCell="A3" activePane="bottomLeft" state="frozen"/>
      <selection pane="bottomLeft" activeCell="A24" sqref="A24"/>
    </sheetView>
  </sheetViews>
  <sheetFormatPr baseColWidth="10" defaultColWidth="8.88671875" defaultRowHeight="14.4" x14ac:dyDescent="0.3"/>
  <cols>
    <col min="1" max="2" width="17.33203125" customWidth="1"/>
    <col min="3" max="5" width="18.88671875" customWidth="1"/>
    <col min="6" max="6" width="15.109375" style="35" customWidth="1"/>
    <col min="7" max="7" width="14.88671875" customWidth="1"/>
    <col min="8" max="8" width="14" customWidth="1"/>
    <col min="9" max="9" width="13.44140625" customWidth="1"/>
    <col min="10" max="10" width="14.5546875" customWidth="1"/>
    <col min="14" max="14" width="17.109375" customWidth="1"/>
  </cols>
  <sheetData>
    <row r="1" spans="1:16" x14ac:dyDescent="0.3">
      <c r="G1" s="102" t="s">
        <v>0</v>
      </c>
      <c r="H1" s="102"/>
      <c r="I1" s="102" t="s">
        <v>1</v>
      </c>
      <c r="J1" s="102"/>
      <c r="L1" s="59" t="s">
        <v>11</v>
      </c>
      <c r="N1" s="16"/>
      <c r="O1" s="16" t="s">
        <v>0</v>
      </c>
      <c r="P1" s="16" t="s">
        <v>1</v>
      </c>
    </row>
    <row r="2" spans="1:16" ht="28.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12</v>
      </c>
      <c r="G2" s="2" t="s">
        <v>7</v>
      </c>
      <c r="H2" s="2" t="s">
        <v>8</v>
      </c>
      <c r="I2" s="2" t="s">
        <v>9</v>
      </c>
      <c r="J2" s="1" t="s">
        <v>8</v>
      </c>
      <c r="L2" s="58" t="s">
        <v>10</v>
      </c>
      <c r="N2" s="36" t="s">
        <v>12</v>
      </c>
      <c r="O2" s="36" t="s">
        <v>8</v>
      </c>
      <c r="P2" s="37" t="s">
        <v>8</v>
      </c>
    </row>
    <row r="3" spans="1:16" x14ac:dyDescent="0.3">
      <c r="A3" s="7">
        <v>62.461537999999997</v>
      </c>
      <c r="B3" s="4">
        <v>1</v>
      </c>
      <c r="C3" s="7">
        <v>16.804258000000001</v>
      </c>
      <c r="D3" s="3">
        <v>0</v>
      </c>
      <c r="E3" s="7">
        <v>16.806605999999995</v>
      </c>
      <c r="F3" s="38"/>
      <c r="G3" s="24">
        <f t="shared" ref="G3:G34" si="0">10^(E3/20)</f>
        <v>6.9235733885098476</v>
      </c>
      <c r="H3" s="4"/>
      <c r="I3" s="7">
        <f t="shared" ref="I3:I34" si="1">10^(D3/20)</f>
        <v>1</v>
      </c>
      <c r="J3" s="4"/>
      <c r="N3" s="34">
        <f>F6</f>
        <v>62.461537999999997</v>
      </c>
      <c r="O3" s="15">
        <f>H6</f>
        <v>-150.18627759477434</v>
      </c>
      <c r="P3" s="15">
        <f>J6</f>
        <v>-143.51556406492168</v>
      </c>
    </row>
    <row r="4" spans="1:16" x14ac:dyDescent="0.3">
      <c r="A4" s="7">
        <v>125.07692299999999</v>
      </c>
      <c r="B4" s="4">
        <v>2</v>
      </c>
      <c r="C4" s="6">
        <v>-129.7029</v>
      </c>
      <c r="D4" s="7">
        <v>-146.50715700000001</v>
      </c>
      <c r="E4" s="7">
        <v>-136.44497500000003</v>
      </c>
      <c r="F4" s="38"/>
      <c r="G4" s="24">
        <f t="shared" si="0"/>
        <v>1.5057443768915612E-7</v>
      </c>
      <c r="H4" s="4"/>
      <c r="I4" s="7">
        <f t="shared" si="1"/>
        <v>4.7276155232868289E-8</v>
      </c>
      <c r="J4" s="4"/>
      <c r="N4" s="34">
        <f>F15</f>
        <v>125.07692299999999</v>
      </c>
      <c r="O4" s="15">
        <f>H15</f>
        <v>-147.05416659355203</v>
      </c>
      <c r="P4" s="15">
        <f>J15</f>
        <v>-138.58460363308183</v>
      </c>
    </row>
    <row r="5" spans="1:16" x14ac:dyDescent="0.3">
      <c r="A5" s="7">
        <v>187.53846200000001</v>
      </c>
      <c r="B5" s="4">
        <v>3</v>
      </c>
      <c r="C5" s="5">
        <v>-130.87438</v>
      </c>
      <c r="D5" s="7">
        <v>-147.67863800000001</v>
      </c>
      <c r="E5" s="7">
        <v>-142.03604799999999</v>
      </c>
      <c r="F5" s="38"/>
      <c r="G5" s="24">
        <f t="shared" si="0"/>
        <v>7.9103846136691823E-8</v>
      </c>
      <c r="H5" s="25"/>
      <c r="I5" s="7">
        <f t="shared" si="1"/>
        <v>4.1311227541357545E-8</v>
      </c>
      <c r="J5" s="25"/>
      <c r="N5" s="34">
        <f>F24</f>
        <v>625.23076900000001</v>
      </c>
      <c r="O5" s="15">
        <f>H24</f>
        <v>-149.03416117476073</v>
      </c>
      <c r="P5" s="15">
        <f>J24</f>
        <v>-127.84910659898628</v>
      </c>
    </row>
    <row r="6" spans="1:16" x14ac:dyDescent="0.3">
      <c r="A6" s="3">
        <v>250</v>
      </c>
      <c r="B6" s="4">
        <v>4</v>
      </c>
      <c r="C6" s="7">
        <v>-138.448328</v>
      </c>
      <c r="D6" s="7">
        <v>-155.25258500000001</v>
      </c>
      <c r="E6" s="7">
        <v>-139.240926</v>
      </c>
      <c r="F6" s="39">
        <f>A3</f>
        <v>62.461537999999997</v>
      </c>
      <c r="G6" s="26">
        <f t="shared" si="0"/>
        <v>1.0913239845352751E-7</v>
      </c>
      <c r="H6" s="9">
        <f>20*LOG10(SQRT(SUMSQ(G4:G11))/G3)</f>
        <v>-150.18627759477434</v>
      </c>
      <c r="I6" s="27">
        <f t="shared" si="1"/>
        <v>1.7273118402428476E-8</v>
      </c>
      <c r="J6" s="9">
        <f>20*LOG10(SQRT(SUMSQ(I4:I11))/I3)</f>
        <v>-143.51556406492168</v>
      </c>
      <c r="N6" s="34">
        <f>F33</f>
        <v>1000.153846</v>
      </c>
      <c r="O6" s="15">
        <f>H33</f>
        <v>-146.72898295376444</v>
      </c>
      <c r="P6" s="15">
        <f>J33</f>
        <v>-123.80052771133876</v>
      </c>
    </row>
    <row r="7" spans="1:16" x14ac:dyDescent="0.3">
      <c r="A7" s="7">
        <v>312.615385</v>
      </c>
      <c r="B7" s="4">
        <v>5</v>
      </c>
      <c r="C7" s="7">
        <v>-143.68698699999999</v>
      </c>
      <c r="D7" s="7">
        <v>-160.49124499999999</v>
      </c>
      <c r="E7" s="7">
        <v>-149.61141499999999</v>
      </c>
      <c r="F7" s="38"/>
      <c r="G7" s="24">
        <f t="shared" si="0"/>
        <v>3.3069623464326554E-8</v>
      </c>
      <c r="H7" s="4"/>
      <c r="I7" s="7">
        <f t="shared" si="1"/>
        <v>9.450129284330961E-9</v>
      </c>
      <c r="J7" s="4"/>
      <c r="N7" s="34">
        <f>F42</f>
        <v>2000.461538</v>
      </c>
      <c r="O7" s="15">
        <f>H42</f>
        <v>-141.85162474538186</v>
      </c>
      <c r="P7" s="40">
        <f>J42</f>
        <v>-117.41938304755395</v>
      </c>
    </row>
    <row r="8" spans="1:16" x14ac:dyDescent="0.3">
      <c r="A8" s="7">
        <v>375.07692300000002</v>
      </c>
      <c r="B8" s="4">
        <v>6</v>
      </c>
      <c r="C8" s="7">
        <v>-147.102318</v>
      </c>
      <c r="D8" s="7">
        <v>-163.906576</v>
      </c>
      <c r="E8" s="6">
        <v>-147.84569999999999</v>
      </c>
      <c r="F8" s="41"/>
      <c r="G8" s="24">
        <f t="shared" si="0"/>
        <v>4.0524251314072799E-8</v>
      </c>
      <c r="H8" s="4"/>
      <c r="I8" s="7">
        <f t="shared" si="1"/>
        <v>6.3778044617691132E-9</v>
      </c>
      <c r="J8" s="4"/>
      <c r="N8" s="34">
        <f>F51</f>
        <v>5000.1538460000002</v>
      </c>
      <c r="O8" s="15">
        <f>H51</f>
        <v>-135.88068993165956</v>
      </c>
      <c r="P8" s="15">
        <f>J51</f>
        <v>-108.5404865283102</v>
      </c>
    </row>
    <row r="9" spans="1:16" x14ac:dyDescent="0.3">
      <c r="A9" s="7">
        <v>437.07692300000002</v>
      </c>
      <c r="B9" s="4">
        <v>7</v>
      </c>
      <c r="C9" s="7">
        <v>-148.92918700000001</v>
      </c>
      <c r="D9" s="7">
        <v>-165.73344399999999</v>
      </c>
      <c r="E9" s="7">
        <v>-150.36554899999996</v>
      </c>
      <c r="F9" s="38"/>
      <c r="G9" s="24">
        <f t="shared" si="0"/>
        <v>3.0319535950158749E-8</v>
      </c>
      <c r="H9" s="4"/>
      <c r="I9" s="7">
        <f t="shared" si="1"/>
        <v>5.1680630097664071E-9</v>
      </c>
      <c r="J9" s="4"/>
      <c r="N9" s="34">
        <f>F60</f>
        <v>10001.538462</v>
      </c>
      <c r="O9" s="15">
        <f>H60</f>
        <v>-130.53545585144118</v>
      </c>
      <c r="P9" s="42">
        <f>J60</f>
        <v>-98.971934486941322</v>
      </c>
    </row>
    <row r="10" spans="1:16" x14ac:dyDescent="0.3">
      <c r="A10" s="3">
        <v>502</v>
      </c>
      <c r="B10" s="4">
        <v>8</v>
      </c>
      <c r="C10" s="7">
        <v>-148.57507799999999</v>
      </c>
      <c r="D10" s="7">
        <v>-165.379335</v>
      </c>
      <c r="E10" s="7">
        <v>-153.429248</v>
      </c>
      <c r="F10" s="38"/>
      <c r="G10" s="24">
        <f t="shared" si="0"/>
        <v>2.1307750360926057E-8</v>
      </c>
      <c r="H10" s="4"/>
      <c r="I10" s="7">
        <f t="shared" si="1"/>
        <v>5.383109945421253E-9</v>
      </c>
      <c r="J10" s="4"/>
      <c r="N10" s="43">
        <f>F67</f>
        <v>20006</v>
      </c>
      <c r="O10" s="15">
        <f>H67</f>
        <v>-125.74272113659245</v>
      </c>
      <c r="P10" s="34">
        <f>J67</f>
        <v>-88.516218929776969</v>
      </c>
    </row>
    <row r="11" spans="1:16" x14ac:dyDescent="0.3">
      <c r="A11" s="7">
        <v>562.92307700000003</v>
      </c>
      <c r="B11" s="4">
        <v>9</v>
      </c>
      <c r="C11" s="7">
        <v>-149.18597199999999</v>
      </c>
      <c r="D11" s="5">
        <v>-165.99023</v>
      </c>
      <c r="E11" s="6">
        <v>-150.11349999999996</v>
      </c>
      <c r="F11" s="41"/>
      <c r="G11" s="24">
        <f t="shared" si="0"/>
        <v>3.1212244479366537E-8</v>
      </c>
      <c r="H11" s="4"/>
      <c r="I11" s="7">
        <f t="shared" si="1"/>
        <v>5.0175129262276176E-9</v>
      </c>
      <c r="J11" s="4"/>
      <c r="N11" s="34">
        <f>F73</f>
        <v>20006</v>
      </c>
      <c r="O11" s="15">
        <f>H73</f>
        <v>-125.89430451849879</v>
      </c>
      <c r="P11" s="42">
        <f>J73</f>
        <v>-88.333037420985221</v>
      </c>
    </row>
    <row r="12" spans="1:16" x14ac:dyDescent="0.3">
      <c r="A12" s="8">
        <v>125.07692299999999</v>
      </c>
      <c r="B12">
        <v>1</v>
      </c>
      <c r="C12" s="8">
        <v>16.838592999999999</v>
      </c>
      <c r="D12" s="12">
        <v>0</v>
      </c>
      <c r="E12" s="8">
        <v>16.840886000000001</v>
      </c>
      <c r="F12" s="44"/>
      <c r="G12" s="28">
        <f t="shared" si="0"/>
        <v>6.9509521682639654</v>
      </c>
      <c r="I12" s="8">
        <f t="shared" si="1"/>
        <v>1</v>
      </c>
      <c r="N12" s="34">
        <f>F80</f>
        <v>49985.5</v>
      </c>
      <c r="O12" s="15">
        <f>H80</f>
        <v>-118.74109690733658</v>
      </c>
      <c r="P12" s="34">
        <f>J80</f>
        <v>-73.001149738721708</v>
      </c>
    </row>
    <row r="13" spans="1:16" x14ac:dyDescent="0.3">
      <c r="A13" s="12">
        <v>250</v>
      </c>
      <c r="B13">
        <v>2</v>
      </c>
      <c r="C13" s="8">
        <v>-125.149629</v>
      </c>
      <c r="D13" s="8">
        <v>-141.98822200000001</v>
      </c>
      <c r="E13" s="8">
        <v>-131.33937599999999</v>
      </c>
      <c r="F13" s="44"/>
      <c r="G13" s="28">
        <f t="shared" si="0"/>
        <v>2.7103863408265108E-7</v>
      </c>
      <c r="I13" s="8">
        <f t="shared" si="1"/>
        <v>7.9540606834482815E-8</v>
      </c>
      <c r="N13" s="34">
        <f>F86</f>
        <v>49985</v>
      </c>
      <c r="O13" s="15">
        <f>H86</f>
        <v>-118.00528478015383</v>
      </c>
      <c r="P13" s="42">
        <f>J86</f>
        <v>-73.086956453125239</v>
      </c>
    </row>
    <row r="14" spans="1:16" x14ac:dyDescent="0.3">
      <c r="A14" s="8">
        <v>375.07692300000002</v>
      </c>
      <c r="B14">
        <v>3</v>
      </c>
      <c r="C14" s="8">
        <v>-124.723868</v>
      </c>
      <c r="D14" s="8">
        <v>-141.56246100000001</v>
      </c>
      <c r="E14" s="8">
        <v>-140.21049300000001</v>
      </c>
      <c r="F14" s="44"/>
      <c r="G14" s="28">
        <f t="shared" si="0"/>
        <v>9.7605738108789083E-8</v>
      </c>
      <c r="H14" s="29"/>
      <c r="I14" s="8">
        <f t="shared" si="1"/>
        <v>8.3536629777827199E-8</v>
      </c>
      <c r="J14" s="29"/>
      <c r="N14" s="34">
        <f>F93</f>
        <v>100026</v>
      </c>
      <c r="O14" s="15">
        <f>H93</f>
        <v>-112.05433778794331</v>
      </c>
      <c r="P14" s="34">
        <f>J93</f>
        <v>-46.156371556379099</v>
      </c>
    </row>
    <row r="15" spans="1:16" x14ac:dyDescent="0.3">
      <c r="A15" s="8">
        <v>500.15384599999999</v>
      </c>
      <c r="B15">
        <v>4</v>
      </c>
      <c r="C15" s="8">
        <v>-139.37086300000001</v>
      </c>
      <c r="D15" s="8">
        <v>-156.20945499999999</v>
      </c>
      <c r="E15" s="8">
        <v>-141.779887</v>
      </c>
      <c r="F15" s="45">
        <f>A12</f>
        <v>125.07692299999999</v>
      </c>
      <c r="G15" s="30">
        <f t="shared" si="0"/>
        <v>8.1471488307134172E-8</v>
      </c>
      <c r="H15" s="15">
        <f>20*LOG10(SQRT(SUMSQ(G13:G20))/G12)</f>
        <v>-147.05416659355203</v>
      </c>
      <c r="I15" s="31">
        <f t="shared" si="1"/>
        <v>1.5471315763598112E-8</v>
      </c>
      <c r="J15" s="15">
        <f>20*LOG10(SQRT(SUMSQ(I13:I20))/I12)</f>
        <v>-138.58460363308183</v>
      </c>
      <c r="N15" s="34">
        <f>F99</f>
        <v>100026</v>
      </c>
      <c r="O15" s="15">
        <f>H99</f>
        <v>-108.92898646017949</v>
      </c>
      <c r="P15" s="42">
        <f>J99</f>
        <v>-45.006206614518717</v>
      </c>
    </row>
    <row r="16" spans="1:16" x14ac:dyDescent="0.3">
      <c r="A16" s="8">
        <v>625.23076900000001</v>
      </c>
      <c r="B16">
        <v>5</v>
      </c>
      <c r="C16" s="8">
        <v>-140.708035</v>
      </c>
      <c r="D16" s="8">
        <v>-157.546628</v>
      </c>
      <c r="E16" s="8">
        <v>-146.99723599999996</v>
      </c>
      <c r="F16" s="44"/>
      <c r="G16" s="28">
        <f t="shared" si="0"/>
        <v>4.4682575719816603E-8</v>
      </c>
      <c r="I16" s="8">
        <f t="shared" si="1"/>
        <v>1.3263819403109325E-8</v>
      </c>
    </row>
    <row r="17" spans="1:10" x14ac:dyDescent="0.3">
      <c r="A17" s="8">
        <v>751.23076900000001</v>
      </c>
      <c r="B17">
        <v>6</v>
      </c>
      <c r="C17" s="8">
        <v>-149.246925</v>
      </c>
      <c r="D17" s="8">
        <v>-166.08551800000001</v>
      </c>
      <c r="E17" s="8">
        <v>-149.50702799999999</v>
      </c>
      <c r="F17" s="44"/>
      <c r="G17" s="28">
        <f t="shared" si="0"/>
        <v>3.346945187269133E-8</v>
      </c>
      <c r="I17" s="8">
        <f t="shared" si="1"/>
        <v>4.962769448651165E-9</v>
      </c>
    </row>
    <row r="18" spans="1:10" x14ac:dyDescent="0.3">
      <c r="A18" s="8">
        <v>875.23076900000001</v>
      </c>
      <c r="B18">
        <v>7</v>
      </c>
      <c r="C18" s="8">
        <v>-146.36908500000001</v>
      </c>
      <c r="D18" s="8">
        <v>-163.20767799999996</v>
      </c>
      <c r="E18" s="8">
        <v>-151.18521799999999</v>
      </c>
      <c r="F18" s="44"/>
      <c r="G18" s="28">
        <f t="shared" si="0"/>
        <v>2.7589199524304349E-8</v>
      </c>
      <c r="I18" s="8">
        <f t="shared" si="1"/>
        <v>6.9121968855671401E-9</v>
      </c>
    </row>
    <row r="19" spans="1:10" x14ac:dyDescent="0.3">
      <c r="A19" s="12">
        <v>1002</v>
      </c>
      <c r="B19">
        <v>8</v>
      </c>
      <c r="C19" s="13">
        <v>-147.62181000000001</v>
      </c>
      <c r="D19" s="8">
        <v>-164.46040199999996</v>
      </c>
      <c r="E19" s="8">
        <v>-151.25606500000001</v>
      </c>
      <c r="F19" s="44"/>
      <c r="G19" s="28">
        <f t="shared" si="0"/>
        <v>2.7365081757263075E-8</v>
      </c>
      <c r="I19" s="8">
        <f t="shared" si="1"/>
        <v>5.9838390003948869E-9</v>
      </c>
    </row>
    <row r="20" spans="1:10" x14ac:dyDescent="0.3">
      <c r="A20" s="8">
        <v>1127.3846149999999</v>
      </c>
      <c r="B20">
        <v>9</v>
      </c>
      <c r="C20" s="8">
        <v>-149.30801500000001</v>
      </c>
      <c r="D20" s="8">
        <v>-166.14660699999996</v>
      </c>
      <c r="E20" s="8">
        <v>-150.20225099999999</v>
      </c>
      <c r="F20" s="44"/>
      <c r="G20" s="28">
        <f t="shared" si="0"/>
        <v>3.0894946678240942E-8</v>
      </c>
      <c r="I20" s="8">
        <f t="shared" si="1"/>
        <v>4.9279880950908906E-9</v>
      </c>
    </row>
    <row r="21" spans="1:10" x14ac:dyDescent="0.3">
      <c r="A21" s="7">
        <v>625.23076900000001</v>
      </c>
      <c r="B21" s="4">
        <v>1</v>
      </c>
      <c r="C21" s="7">
        <v>16.818487000000001</v>
      </c>
      <c r="D21" s="3">
        <v>0</v>
      </c>
      <c r="E21" s="7">
        <v>16.820383</v>
      </c>
      <c r="F21" s="38"/>
      <c r="G21" s="24">
        <f t="shared" si="0"/>
        <v>6.934563829580469</v>
      </c>
      <c r="H21" s="4"/>
      <c r="I21" s="7">
        <f t="shared" si="1"/>
        <v>1</v>
      </c>
      <c r="J21" s="4"/>
    </row>
    <row r="22" spans="1:10" x14ac:dyDescent="0.3">
      <c r="A22" s="7">
        <v>1250.3076920000001</v>
      </c>
      <c r="B22" s="4">
        <v>2</v>
      </c>
      <c r="C22" s="7">
        <v>-116.577376</v>
      </c>
      <c r="D22" s="7">
        <v>-133.39586299999999</v>
      </c>
      <c r="E22" s="7">
        <v>-136.57598200000001</v>
      </c>
      <c r="F22" s="38"/>
      <c r="G22" s="24">
        <f t="shared" si="0"/>
        <v>1.4832040408618489E-7</v>
      </c>
      <c r="H22" s="4"/>
      <c r="I22" s="7">
        <f t="shared" si="1"/>
        <v>2.1389806214199662E-7</v>
      </c>
      <c r="J22" s="4"/>
    </row>
    <row r="23" spans="1:10" x14ac:dyDescent="0.3">
      <c r="A23" s="7">
        <v>1875.538462</v>
      </c>
      <c r="B23" s="4">
        <v>3</v>
      </c>
      <c r="C23" s="5">
        <v>-112.68668</v>
      </c>
      <c r="D23" s="7">
        <v>-129.505167</v>
      </c>
      <c r="E23" s="7">
        <v>-135.47385299999999</v>
      </c>
      <c r="F23" s="38"/>
      <c r="G23" s="24">
        <f t="shared" si="0"/>
        <v>1.6838653101833226E-7</v>
      </c>
      <c r="H23" s="25"/>
      <c r="I23" s="7">
        <f t="shared" si="1"/>
        <v>3.3476623656542708E-7</v>
      </c>
      <c r="J23" s="25"/>
    </row>
    <row r="24" spans="1:10" x14ac:dyDescent="0.3">
      <c r="A24" s="7">
        <v>2500.7692310000002</v>
      </c>
      <c r="B24" s="4">
        <v>4</v>
      </c>
      <c r="C24" s="7">
        <v>-134.92204100000001</v>
      </c>
      <c r="D24" s="7">
        <v>-151.74052800000001</v>
      </c>
      <c r="E24" s="7">
        <v>-145.06543400000001</v>
      </c>
      <c r="F24" s="39">
        <f>A21</f>
        <v>625.23076900000001</v>
      </c>
      <c r="G24" s="26">
        <f t="shared" si="0"/>
        <v>5.581209181421262E-8</v>
      </c>
      <c r="H24" s="9">
        <f>20*LOG10(SQRT(SUMSQ(G22:G29))/G21)</f>
        <v>-149.03416117476073</v>
      </c>
      <c r="I24" s="27">
        <f t="shared" si="1"/>
        <v>2.5880555870104195E-8</v>
      </c>
      <c r="J24" s="9">
        <f>20*LOG10(SQRT(SUMSQ(I22:I29))/I21)</f>
        <v>-127.84910659898628</v>
      </c>
    </row>
    <row r="25" spans="1:10" x14ac:dyDescent="0.3">
      <c r="A25" s="7">
        <v>3125.8461539999998</v>
      </c>
      <c r="B25" s="4">
        <v>5</v>
      </c>
      <c r="C25" s="7">
        <v>-126.43323400000001</v>
      </c>
      <c r="D25" s="7">
        <v>-143.251721</v>
      </c>
      <c r="E25" s="7">
        <v>-145.83074500000001</v>
      </c>
      <c r="F25" s="38"/>
      <c r="G25" s="24">
        <f t="shared" si="0"/>
        <v>5.1104924380221154E-8</v>
      </c>
      <c r="H25" s="4"/>
      <c r="I25" s="7">
        <f t="shared" si="1"/>
        <v>6.8772363500298034E-8</v>
      </c>
      <c r="J25" s="4"/>
    </row>
    <row r="26" spans="1:10" x14ac:dyDescent="0.3">
      <c r="A26" s="7">
        <v>3752.3076919999999</v>
      </c>
      <c r="B26" s="4">
        <v>6</v>
      </c>
      <c r="C26" s="7">
        <v>-149.35796300000001</v>
      </c>
      <c r="D26" s="5">
        <v>-166.17644999999996</v>
      </c>
      <c r="E26" s="7">
        <v>-151.88694799999999</v>
      </c>
      <c r="F26" s="38"/>
      <c r="G26" s="24">
        <f t="shared" si="0"/>
        <v>2.5447938116684424E-8</v>
      </c>
      <c r="H26" s="4"/>
      <c r="I26" s="7">
        <f t="shared" si="1"/>
        <v>4.9110855555502E-9</v>
      </c>
      <c r="J26" s="4"/>
    </row>
    <row r="27" spans="1:10" x14ac:dyDescent="0.3">
      <c r="A27" s="7">
        <v>4376.3076920000003</v>
      </c>
      <c r="B27" s="4">
        <v>7</v>
      </c>
      <c r="C27" s="7">
        <v>-134.117437</v>
      </c>
      <c r="D27" s="7">
        <v>-150.935924</v>
      </c>
      <c r="E27" s="7">
        <v>-146.861087</v>
      </c>
      <c r="F27" s="38"/>
      <c r="G27" s="24">
        <f t="shared" si="0"/>
        <v>4.5388481145423699E-8</v>
      </c>
      <c r="H27" s="4"/>
      <c r="I27" s="7">
        <f t="shared" si="1"/>
        <v>2.8392510822616426E-8</v>
      </c>
      <c r="J27" s="4"/>
    </row>
    <row r="28" spans="1:10" x14ac:dyDescent="0.3">
      <c r="A28" s="7">
        <v>5001.6923079999997</v>
      </c>
      <c r="B28" s="4">
        <v>8</v>
      </c>
      <c r="C28" s="7">
        <v>-150.478352</v>
      </c>
      <c r="D28" s="7">
        <v>-167.29683900000001</v>
      </c>
      <c r="E28" s="7">
        <v>-151.205827</v>
      </c>
      <c r="F28" s="38"/>
      <c r="G28" s="24">
        <f t="shared" si="0"/>
        <v>2.7523816261518557E-8</v>
      </c>
      <c r="H28" s="4"/>
      <c r="I28" s="7">
        <f t="shared" si="1"/>
        <v>4.3167614537116892E-9</v>
      </c>
      <c r="J28" s="4"/>
    </row>
    <row r="29" spans="1:10" x14ac:dyDescent="0.3">
      <c r="A29" s="7">
        <v>5628.1538460000002</v>
      </c>
      <c r="B29" s="4">
        <v>9</v>
      </c>
      <c r="C29" s="7">
        <v>-149.45483400000001</v>
      </c>
      <c r="D29" s="7">
        <v>-166.27332100000001</v>
      </c>
      <c r="E29" s="7">
        <v>-152.83866599999996</v>
      </c>
      <c r="F29" s="38"/>
      <c r="G29" s="24">
        <f t="shared" si="0"/>
        <v>2.2806923193625017E-8</v>
      </c>
      <c r="H29" s="4"/>
      <c r="I29" s="7">
        <f t="shared" si="1"/>
        <v>4.856618054331829E-9</v>
      </c>
      <c r="J29" s="4"/>
    </row>
    <row r="30" spans="1:10" x14ac:dyDescent="0.3">
      <c r="A30" s="8">
        <v>1000.153846</v>
      </c>
      <c r="B30">
        <v>1</v>
      </c>
      <c r="C30" s="13">
        <v>16.87885</v>
      </c>
      <c r="D30" s="12">
        <v>0</v>
      </c>
      <c r="E30" s="8">
        <v>16.881321</v>
      </c>
      <c r="F30" s="44"/>
      <c r="G30" s="28">
        <f t="shared" si="0"/>
        <v>6.9833860334829554</v>
      </c>
      <c r="I30" s="8">
        <f t="shared" si="1"/>
        <v>1</v>
      </c>
    </row>
    <row r="31" spans="1:10" x14ac:dyDescent="0.3">
      <c r="A31" s="8">
        <v>2000.1538459999999</v>
      </c>
      <c r="B31">
        <v>2</v>
      </c>
      <c r="C31" s="8">
        <v>-113.459845</v>
      </c>
      <c r="D31" s="8">
        <v>-130.338694</v>
      </c>
      <c r="E31" s="8">
        <v>-134.87865900000003</v>
      </c>
      <c r="F31" s="44"/>
      <c r="G31" s="28">
        <f t="shared" si="0"/>
        <v>1.8032961272476586E-7</v>
      </c>
      <c r="I31" s="8">
        <f t="shared" si="1"/>
        <v>3.0413422838951964E-7</v>
      </c>
    </row>
    <row r="32" spans="1:10" x14ac:dyDescent="0.3">
      <c r="A32" s="8">
        <v>3000.3076919999999</v>
      </c>
      <c r="B32">
        <v>3</v>
      </c>
      <c r="C32" s="8">
        <v>-108.200734</v>
      </c>
      <c r="D32" s="8">
        <v>-125.079584</v>
      </c>
      <c r="E32" s="8">
        <v>-132.72770399999999</v>
      </c>
      <c r="F32" s="44"/>
      <c r="G32" s="28">
        <f t="shared" si="0"/>
        <v>2.3100150001221944E-7</v>
      </c>
      <c r="H32" s="29"/>
      <c r="I32" s="8">
        <f t="shared" si="1"/>
        <v>5.5721243529704942E-7</v>
      </c>
      <c r="J32" s="29"/>
    </row>
    <row r="33" spans="1:10" x14ac:dyDescent="0.3">
      <c r="A33" s="8">
        <v>4000.461538</v>
      </c>
      <c r="B33">
        <v>4</v>
      </c>
      <c r="C33" s="8">
        <v>-131.236313</v>
      </c>
      <c r="D33" s="8">
        <v>-148.115162</v>
      </c>
      <c r="E33" s="8">
        <v>-140.17827399999999</v>
      </c>
      <c r="F33" s="45">
        <f>A30</f>
        <v>1000.153846</v>
      </c>
      <c r="G33" s="30">
        <f t="shared" si="0"/>
        <v>9.7968464223356563E-8</v>
      </c>
      <c r="H33" s="15">
        <f>20*LOG10(SQRT(SUMSQ(G31:G38))/G30)</f>
        <v>-146.72898295376444</v>
      </c>
      <c r="I33" s="31">
        <f t="shared" si="1"/>
        <v>3.9286369771567235E-8</v>
      </c>
      <c r="J33" s="15">
        <f>20*LOG10(SQRT(SUMSQ(I31:I38))/I30)</f>
        <v>-123.80052771133876</v>
      </c>
    </row>
    <row r="34" spans="1:10" x14ac:dyDescent="0.3">
      <c r="A34" s="8">
        <v>5000.6153850000001</v>
      </c>
      <c r="B34">
        <v>5</v>
      </c>
      <c r="C34" s="8">
        <v>-122.89217600000001</v>
      </c>
      <c r="D34" s="8">
        <v>-139.77102600000001</v>
      </c>
      <c r="E34" s="8">
        <v>-146.07192800000001</v>
      </c>
      <c r="F34" s="44"/>
      <c r="G34" s="28">
        <f t="shared" si="0"/>
        <v>4.9705403079228312E-8</v>
      </c>
      <c r="I34" s="8">
        <f t="shared" si="1"/>
        <v>1.0267121465810871E-7</v>
      </c>
    </row>
    <row r="35" spans="1:10" x14ac:dyDescent="0.3">
      <c r="A35" s="8">
        <v>6000.6153850000001</v>
      </c>
      <c r="B35">
        <v>6</v>
      </c>
      <c r="C35" s="13">
        <v>-146.02181999999999</v>
      </c>
      <c r="D35" s="13">
        <v>-162.90066999999999</v>
      </c>
      <c r="E35" s="8">
        <v>-149.147108</v>
      </c>
      <c r="F35" s="44"/>
      <c r="G35" s="28">
        <f t="shared" ref="G35:G66" si="2">10^(E35/20)</f>
        <v>3.4885471730598083E-8</v>
      </c>
      <c r="I35" s="8">
        <f t="shared" ref="I35:I66" si="3">10^(D35/20)</f>
        <v>7.1608817147517586E-9</v>
      </c>
    </row>
    <row r="36" spans="1:10" x14ac:dyDescent="0.3">
      <c r="A36" s="8">
        <v>7000.7692310000002</v>
      </c>
      <c r="B36">
        <v>7</v>
      </c>
      <c r="C36" s="8">
        <v>-130.98698300000001</v>
      </c>
      <c r="D36" s="8">
        <v>-147.86583300000001</v>
      </c>
      <c r="E36" s="8">
        <v>-145.786665</v>
      </c>
      <c r="F36" s="44"/>
      <c r="G36" s="28">
        <f t="shared" si="2"/>
        <v>5.1364935843220842E-8</v>
      </c>
      <c r="I36" s="8">
        <f t="shared" si="3"/>
        <v>4.0430429039225513E-8</v>
      </c>
    </row>
    <row r="37" spans="1:10" x14ac:dyDescent="0.3">
      <c r="A37" s="8">
        <v>8001.0769229999987</v>
      </c>
      <c r="B37">
        <v>8</v>
      </c>
      <c r="C37" s="8">
        <v>-147.13931199999999</v>
      </c>
      <c r="D37" s="8">
        <v>-164.01816099999999</v>
      </c>
      <c r="E37" s="8">
        <v>-149.93032099999999</v>
      </c>
      <c r="F37" s="44"/>
      <c r="G37" s="28">
        <f t="shared" si="2"/>
        <v>3.1877477655481957E-8</v>
      </c>
      <c r="I37" s="8">
        <f t="shared" si="3"/>
        <v>6.2963947771573444E-9</v>
      </c>
    </row>
    <row r="38" spans="1:10" x14ac:dyDescent="0.3">
      <c r="A38" s="8">
        <v>9002.6153849999992</v>
      </c>
      <c r="B38">
        <v>9</v>
      </c>
      <c r="C38" s="8">
        <v>-149.130259</v>
      </c>
      <c r="D38" s="8">
        <v>-166.009109</v>
      </c>
      <c r="E38" s="8">
        <v>-151.25214800000001</v>
      </c>
      <c r="F38" s="44"/>
      <c r="G38" s="28">
        <f t="shared" si="2"/>
        <v>2.7377425132829107E-8</v>
      </c>
      <c r="I38" s="8">
        <f t="shared" si="3"/>
        <v>5.0066190787632213E-9</v>
      </c>
    </row>
    <row r="39" spans="1:10" x14ac:dyDescent="0.3">
      <c r="A39" s="7">
        <v>2000.461538</v>
      </c>
      <c r="B39" s="4">
        <v>1</v>
      </c>
      <c r="C39" s="7">
        <v>16.789353999999999</v>
      </c>
      <c r="D39" s="3">
        <v>0</v>
      </c>
      <c r="E39" s="7">
        <v>16.791416000000002</v>
      </c>
      <c r="F39" s="38"/>
      <c r="G39" s="24">
        <f t="shared" si="2"/>
        <v>6.9114759319237145</v>
      </c>
      <c r="H39" s="4"/>
      <c r="I39" s="7">
        <f t="shared" si="3"/>
        <v>1</v>
      </c>
      <c r="J39" s="4"/>
    </row>
    <row r="40" spans="1:10" x14ac:dyDescent="0.3">
      <c r="A40" s="7">
        <v>4001.0769230000001</v>
      </c>
      <c r="B40" s="4">
        <v>2</v>
      </c>
      <c r="C40" s="7">
        <v>-107.63972699999999</v>
      </c>
      <c r="D40" s="7">
        <v>-124.429081</v>
      </c>
      <c r="E40" s="5">
        <v>-129.67148</v>
      </c>
      <c r="F40" s="41"/>
      <c r="G40" s="24">
        <f t="shared" si="2"/>
        <v>3.2841728008902264E-7</v>
      </c>
      <c r="H40" s="4"/>
      <c r="I40" s="7">
        <f t="shared" si="3"/>
        <v>6.0054554553807487E-7</v>
      </c>
      <c r="J40" s="4"/>
    </row>
    <row r="41" spans="1:10" x14ac:dyDescent="0.3">
      <c r="A41" s="7">
        <v>6001.5384620000004</v>
      </c>
      <c r="B41" s="4">
        <v>3</v>
      </c>
      <c r="C41" s="7">
        <v>-101.78955499999999</v>
      </c>
      <c r="D41" s="5">
        <v>-118.57890999999999</v>
      </c>
      <c r="E41" s="7">
        <v>-128.067093</v>
      </c>
      <c r="F41" s="38"/>
      <c r="G41" s="24">
        <f t="shared" si="2"/>
        <v>3.950438908097716E-7</v>
      </c>
      <c r="H41" s="25"/>
      <c r="I41" s="7">
        <f t="shared" si="3"/>
        <v>1.1777537616124654E-6</v>
      </c>
      <c r="J41" s="25"/>
    </row>
    <row r="42" spans="1:10" x14ac:dyDescent="0.3">
      <c r="A42" s="3">
        <v>8002</v>
      </c>
      <c r="B42" s="4">
        <v>4</v>
      </c>
      <c r="C42" s="7">
        <v>-125.80327500000001</v>
      </c>
      <c r="D42" s="7">
        <v>-142.59262899999999</v>
      </c>
      <c r="E42" s="7">
        <v>-135.03650500000001</v>
      </c>
      <c r="F42" s="39">
        <f>A39</f>
        <v>2000.461538</v>
      </c>
      <c r="G42" s="26">
        <f t="shared" si="2"/>
        <v>1.7708213523141378E-7</v>
      </c>
      <c r="H42" s="9">
        <f>20*LOG10(SQRT(SUMSQ(G40:G47))/G39)</f>
        <v>-141.85162474538186</v>
      </c>
      <c r="I42" s="27">
        <f t="shared" si="3"/>
        <v>7.4193959732315258E-8</v>
      </c>
      <c r="J42" s="32">
        <f>20*LOG10(SQRT(SUMSQ(I40:I47))/I39)</f>
        <v>-117.41938304755395</v>
      </c>
    </row>
    <row r="43" spans="1:10" x14ac:dyDescent="0.3">
      <c r="A43" s="5">
        <v>10002.615384999999</v>
      </c>
      <c r="B43" s="4">
        <v>5</v>
      </c>
      <c r="C43" s="7">
        <v>-116.149556</v>
      </c>
      <c r="D43" s="5">
        <v>-132.93890999999999</v>
      </c>
      <c r="E43" s="7">
        <v>-145.78796600000001</v>
      </c>
      <c r="F43" s="38"/>
      <c r="G43" s="24">
        <f t="shared" si="2"/>
        <v>5.1357242816958929E-8</v>
      </c>
      <c r="H43" s="4"/>
      <c r="I43" s="7">
        <f t="shared" si="3"/>
        <v>2.2545221163825322E-7</v>
      </c>
      <c r="J43" s="4"/>
    </row>
    <row r="44" spans="1:10" x14ac:dyDescent="0.3">
      <c r="A44" s="5">
        <v>12003.230769</v>
      </c>
      <c r="B44" s="4">
        <v>6</v>
      </c>
      <c r="C44" s="7">
        <v>-143.904436</v>
      </c>
      <c r="D44" s="5">
        <v>-160.69379000000001</v>
      </c>
      <c r="E44" s="7">
        <v>-147.64117400000001</v>
      </c>
      <c r="F44" s="38"/>
      <c r="G44" s="24">
        <f t="shared" si="2"/>
        <v>4.1489796051204674E-8</v>
      </c>
      <c r="H44" s="4"/>
      <c r="I44" s="7">
        <f t="shared" si="3"/>
        <v>9.2323125790691177E-9</v>
      </c>
      <c r="J44" s="4"/>
    </row>
    <row r="45" spans="1:10" x14ac:dyDescent="0.3">
      <c r="A45" s="5">
        <v>14003.692308</v>
      </c>
      <c r="B45" s="4">
        <v>7</v>
      </c>
      <c r="C45" s="7">
        <v>-124.74177899999999</v>
      </c>
      <c r="D45" s="7">
        <v>-141.53113300000001</v>
      </c>
      <c r="E45" s="5">
        <v>-144.17051000000001</v>
      </c>
      <c r="F45" s="41"/>
      <c r="G45" s="24">
        <f t="shared" si="2"/>
        <v>6.1869199941686117E-8</v>
      </c>
      <c r="H45" s="4"/>
      <c r="I45" s="7">
        <f t="shared" si="3"/>
        <v>8.3838471137529802E-8</v>
      </c>
      <c r="J45" s="4"/>
    </row>
    <row r="46" spans="1:10" x14ac:dyDescent="0.3">
      <c r="A46" s="5">
        <v>16004.153845999999</v>
      </c>
      <c r="B46" s="4">
        <v>8</v>
      </c>
      <c r="C46" s="7">
        <v>-141.075886</v>
      </c>
      <c r="D46" s="5">
        <v>-157.86524</v>
      </c>
      <c r="E46" s="7">
        <v>-142.61131599999999</v>
      </c>
      <c r="F46" s="38"/>
      <c r="G46" s="24">
        <f t="shared" si="2"/>
        <v>7.4034508919519793E-8</v>
      </c>
      <c r="H46" s="4"/>
      <c r="I46" s="7">
        <f t="shared" si="3"/>
        <v>1.2786097152303331E-8</v>
      </c>
      <c r="J46" s="4"/>
    </row>
    <row r="47" spans="1:10" x14ac:dyDescent="0.3">
      <c r="A47" s="5">
        <v>18004.615385000001</v>
      </c>
      <c r="B47" s="4">
        <v>9</v>
      </c>
      <c r="C47" s="7">
        <v>-139.64084199999999</v>
      </c>
      <c r="D47" s="7">
        <v>-156.430196</v>
      </c>
      <c r="E47" s="7">
        <v>-145.33069599999996</v>
      </c>
      <c r="F47" s="38"/>
      <c r="G47" s="24">
        <f t="shared" si="2"/>
        <v>5.4133386908279481E-8</v>
      </c>
      <c r="H47" s="4"/>
      <c r="I47" s="7">
        <f t="shared" si="3"/>
        <v>1.5083085746698395E-8</v>
      </c>
      <c r="J47" s="4"/>
    </row>
    <row r="48" spans="1:10" x14ac:dyDescent="0.3">
      <c r="A48" s="8">
        <v>5000.1538460000002</v>
      </c>
      <c r="B48">
        <v>1</v>
      </c>
      <c r="C48" s="8">
        <v>16.953682000000001</v>
      </c>
      <c r="D48" s="12">
        <v>0</v>
      </c>
      <c r="E48" s="8">
        <v>16.953945000000001</v>
      </c>
      <c r="F48" s="44"/>
      <c r="G48" s="28">
        <f t="shared" si="2"/>
        <v>7.0420199323330603</v>
      </c>
      <c r="I48" s="8">
        <f t="shared" si="3"/>
        <v>1</v>
      </c>
    </row>
    <row r="49" spans="1:10" x14ac:dyDescent="0.3">
      <c r="A49" s="13">
        <v>10000.307692</v>
      </c>
      <c r="B49">
        <v>2</v>
      </c>
      <c r="C49" s="8">
        <v>-97.902472000000003</v>
      </c>
      <c r="D49" s="8">
        <v>-114.856154</v>
      </c>
      <c r="E49" s="8">
        <v>-128.711331</v>
      </c>
      <c r="F49" s="44"/>
      <c r="G49" s="28">
        <f t="shared" si="2"/>
        <v>3.6680348225543079E-7</v>
      </c>
      <c r="I49" s="8">
        <f t="shared" si="3"/>
        <v>1.8079744966093781E-6</v>
      </c>
    </row>
    <row r="50" spans="1:10" x14ac:dyDescent="0.3">
      <c r="A50" s="13">
        <v>15000.461538</v>
      </c>
      <c r="B50">
        <v>3</v>
      </c>
      <c r="C50" s="8">
        <v>-92.982985999999997</v>
      </c>
      <c r="D50" s="8">
        <v>-109.936668</v>
      </c>
      <c r="E50" s="8">
        <v>-120.299351</v>
      </c>
      <c r="F50" s="44"/>
      <c r="G50" s="28">
        <f t="shared" si="2"/>
        <v>9.6612306393232394E-7</v>
      </c>
      <c r="H50" s="29"/>
      <c r="I50" s="8">
        <f t="shared" si="3"/>
        <v>3.1854192482101954E-6</v>
      </c>
      <c r="J50" s="29"/>
    </row>
    <row r="51" spans="1:10" x14ac:dyDescent="0.3">
      <c r="A51" s="13">
        <v>20000.461538</v>
      </c>
      <c r="B51">
        <v>4</v>
      </c>
      <c r="C51" s="8">
        <v>-118.311179</v>
      </c>
      <c r="D51" s="8">
        <v>-135.264861</v>
      </c>
      <c r="E51" s="8">
        <v>-128.03091699999999</v>
      </c>
      <c r="F51" s="45">
        <f>A48</f>
        <v>5000.1538460000002</v>
      </c>
      <c r="G51" s="30">
        <f t="shared" si="2"/>
        <v>3.9669264647922308E-7</v>
      </c>
      <c r="H51" s="15">
        <f>20*LOG10(SQRT(SUMSQ(G49:G56))/G48)</f>
        <v>-135.88068993165956</v>
      </c>
      <c r="I51" s="31">
        <f t="shared" si="3"/>
        <v>1.7248723085815845E-7</v>
      </c>
      <c r="J51" s="15">
        <f>20*LOG10(SQRT(SUMSQ(I49:I56))/I48)</f>
        <v>-108.5404865283102</v>
      </c>
    </row>
    <row r="52" spans="1:10" x14ac:dyDescent="0.3">
      <c r="A52" s="13">
        <v>25000.615385000001</v>
      </c>
      <c r="B52">
        <v>5</v>
      </c>
      <c r="C52" s="8">
        <v>-106.44704100000001</v>
      </c>
      <c r="D52" s="8">
        <v>-123.40072300000001</v>
      </c>
      <c r="E52" s="8">
        <v>-141.33351400000001</v>
      </c>
      <c r="F52" s="44"/>
      <c r="G52" s="28">
        <f t="shared" si="2"/>
        <v>8.5767805868572107E-8</v>
      </c>
      <c r="I52" s="8">
        <f t="shared" si="3"/>
        <v>6.7602670163438792E-7</v>
      </c>
    </row>
    <row r="53" spans="1:10" x14ac:dyDescent="0.3">
      <c r="A53" s="13">
        <v>30000.769230999998</v>
      </c>
      <c r="B53">
        <v>6</v>
      </c>
      <c r="C53" s="8">
        <v>-135.48295700000003</v>
      </c>
      <c r="D53" s="8">
        <v>-152.43663900000001</v>
      </c>
      <c r="E53" s="8">
        <v>-142.284426</v>
      </c>
      <c r="F53" s="44"/>
      <c r="G53" s="28">
        <f t="shared" si="2"/>
        <v>7.6873862041558751E-8</v>
      </c>
      <c r="I53" s="8">
        <f t="shared" si="3"/>
        <v>2.3887354239021939E-8</v>
      </c>
    </row>
    <row r="54" spans="1:10" x14ac:dyDescent="0.3">
      <c r="A54" s="13">
        <v>35000.923076999999</v>
      </c>
      <c r="B54">
        <v>7</v>
      </c>
      <c r="C54" s="8">
        <v>-113.57892200000001</v>
      </c>
      <c r="D54" s="8">
        <v>-130.53260399999999</v>
      </c>
      <c r="E54" s="8">
        <v>-137.867358</v>
      </c>
      <c r="F54" s="44"/>
      <c r="G54" s="28">
        <f t="shared" si="2"/>
        <v>1.2782979722379109E-7</v>
      </c>
      <c r="I54" s="8">
        <f t="shared" si="3"/>
        <v>2.9741974709826827E-7</v>
      </c>
    </row>
    <row r="55" spans="1:10" x14ac:dyDescent="0.3">
      <c r="A55" s="13">
        <v>40001.076923000001</v>
      </c>
      <c r="B55">
        <v>8</v>
      </c>
      <c r="C55" s="13">
        <v>-135.02419</v>
      </c>
      <c r="D55" s="8">
        <v>-151.97787199999999</v>
      </c>
      <c r="E55" s="8">
        <v>-137.409885</v>
      </c>
      <c r="F55" s="44"/>
      <c r="G55" s="28">
        <f t="shared" si="2"/>
        <v>1.3474285649976398E-7</v>
      </c>
      <c r="I55" s="8">
        <f t="shared" si="3"/>
        <v>2.5182938217183636E-8</v>
      </c>
    </row>
    <row r="56" spans="1:10" x14ac:dyDescent="0.3">
      <c r="A56" s="13">
        <v>45001.384615000003</v>
      </c>
      <c r="B56">
        <v>9</v>
      </c>
      <c r="C56" s="8">
        <v>-129.60123899999999</v>
      </c>
      <c r="D56" s="8">
        <v>-146.55492100000001</v>
      </c>
      <c r="E56" s="8">
        <v>-141.381585</v>
      </c>
      <c r="F56" s="44"/>
      <c r="G56" s="28">
        <f t="shared" si="2"/>
        <v>8.5294445462364907E-8</v>
      </c>
      <c r="I56" s="8">
        <f t="shared" si="3"/>
        <v>4.7016895553314406E-8</v>
      </c>
    </row>
    <row r="57" spans="1:10" x14ac:dyDescent="0.3">
      <c r="A57" s="5">
        <v>10001.538462</v>
      </c>
      <c r="B57" s="4">
        <v>1</v>
      </c>
      <c r="C57" s="7">
        <v>16.780221999999998</v>
      </c>
      <c r="D57" s="3">
        <v>0</v>
      </c>
      <c r="E57" s="7">
        <v>16.776931999999995</v>
      </c>
      <c r="F57" s="38"/>
      <c r="G57" s="24">
        <f t="shared" si="2"/>
        <v>6.899960427685599</v>
      </c>
      <c r="H57" s="4"/>
      <c r="I57" s="7">
        <f t="shared" si="3"/>
        <v>1</v>
      </c>
      <c r="J57" s="4"/>
    </row>
    <row r="58" spans="1:10" x14ac:dyDescent="0.3">
      <c r="A58" s="5">
        <v>20002.923076999999</v>
      </c>
      <c r="B58" s="4">
        <v>2</v>
      </c>
      <c r="C58" s="7">
        <v>-87.237286999999981</v>
      </c>
      <c r="D58" s="7">
        <v>-104.017509</v>
      </c>
      <c r="E58" s="7">
        <v>-118.129127</v>
      </c>
      <c r="F58" s="38"/>
      <c r="G58" s="24">
        <f t="shared" si="2"/>
        <v>1.2403482835801787E-6</v>
      </c>
      <c r="H58" s="4"/>
      <c r="I58" s="7">
        <f t="shared" si="3"/>
        <v>6.2968674291997178E-6</v>
      </c>
      <c r="J58" s="4"/>
    </row>
    <row r="59" spans="1:10" x14ac:dyDescent="0.3">
      <c r="A59" s="5">
        <v>30004.461538</v>
      </c>
      <c r="B59" s="4">
        <v>3</v>
      </c>
      <c r="C59" s="7">
        <v>-84.077207999999999</v>
      </c>
      <c r="D59" s="5">
        <v>-100.85742999999999</v>
      </c>
      <c r="E59" s="7">
        <v>-117.12970799999999</v>
      </c>
      <c r="F59" s="38"/>
      <c r="G59" s="24">
        <f t="shared" si="2"/>
        <v>1.3916005765279655E-6</v>
      </c>
      <c r="H59" s="25"/>
      <c r="I59" s="7">
        <f t="shared" si="3"/>
        <v>9.0600063068934549E-6</v>
      </c>
      <c r="J59" s="25"/>
    </row>
    <row r="60" spans="1:10" x14ac:dyDescent="0.3">
      <c r="A60" s="5">
        <v>40005.846153999999</v>
      </c>
      <c r="B60" s="4">
        <v>4</v>
      </c>
      <c r="C60" s="5">
        <v>-111.11132000000001</v>
      </c>
      <c r="D60" s="7">
        <v>-127.891542</v>
      </c>
      <c r="E60" s="7">
        <v>-122.175248</v>
      </c>
      <c r="F60" s="39">
        <f>A57</f>
        <v>10001.538462</v>
      </c>
      <c r="G60" s="26">
        <f t="shared" si="2"/>
        <v>7.7846232679745152E-7</v>
      </c>
      <c r="H60" s="9">
        <f>20*LOG10(SQRT(SUMSQ(G58:G65))/G57)</f>
        <v>-130.53545585144118</v>
      </c>
      <c r="I60" s="27">
        <f t="shared" si="3"/>
        <v>4.0310937636104893E-7</v>
      </c>
      <c r="J60" s="33">
        <f>20*LOG10(SQRT(SUMSQ(I58:I65))/I57)</f>
        <v>-98.971934486941322</v>
      </c>
    </row>
    <row r="61" spans="1:10" x14ac:dyDescent="0.3">
      <c r="A61" s="5">
        <v>50007.384615000003</v>
      </c>
      <c r="B61" s="4">
        <v>5</v>
      </c>
      <c r="C61" s="7">
        <v>-97.418668999999994</v>
      </c>
      <c r="D61" s="7">
        <v>-114.198891</v>
      </c>
      <c r="E61" s="7">
        <v>-140.48818399999999</v>
      </c>
      <c r="F61" s="38"/>
      <c r="G61" s="24">
        <f t="shared" si="2"/>
        <v>9.453460197410446E-8</v>
      </c>
      <c r="H61" s="4"/>
      <c r="I61" s="7">
        <f t="shared" si="3"/>
        <v>1.9500935685800644E-6</v>
      </c>
      <c r="J61" s="4"/>
    </row>
    <row r="62" spans="1:10" x14ac:dyDescent="0.3">
      <c r="A62" s="5">
        <v>60008.923076999999</v>
      </c>
      <c r="B62" s="4">
        <v>6</v>
      </c>
      <c r="C62" s="7">
        <v>-125.102847</v>
      </c>
      <c r="D62" s="7">
        <v>-141.88306900000001</v>
      </c>
      <c r="E62" s="7">
        <v>-133.302424</v>
      </c>
      <c r="F62" s="38"/>
      <c r="G62" s="24">
        <f t="shared" si="2"/>
        <v>2.1621150509134261E-7</v>
      </c>
      <c r="H62" s="4"/>
      <c r="I62" s="7">
        <f t="shared" si="3"/>
        <v>8.0509392574649335E-8</v>
      </c>
      <c r="J62" s="4"/>
    </row>
    <row r="63" spans="1:10" x14ac:dyDescent="0.3">
      <c r="A63" s="5">
        <v>70010.461538000003</v>
      </c>
      <c r="B63" s="4">
        <v>7</v>
      </c>
      <c r="C63" s="5">
        <v>-103.21705</v>
      </c>
      <c r="D63" s="7">
        <v>-119.997271</v>
      </c>
      <c r="E63" s="7">
        <v>-132.947213</v>
      </c>
      <c r="F63" s="38"/>
      <c r="G63" s="24">
        <f t="shared" si="2"/>
        <v>2.2523680073961436E-7</v>
      </c>
      <c r="H63" s="4"/>
      <c r="I63" s="7">
        <f t="shared" si="3"/>
        <v>1.000314237098075E-6</v>
      </c>
      <c r="J63" s="4"/>
    </row>
    <row r="64" spans="1:10" x14ac:dyDescent="0.3">
      <c r="A64" s="5">
        <v>80012.153846000001</v>
      </c>
      <c r="B64" s="4">
        <v>8</v>
      </c>
      <c r="C64" s="7">
        <v>-140.384366</v>
      </c>
      <c r="D64" s="7">
        <v>-157.16458800000001</v>
      </c>
      <c r="E64" s="7">
        <v>-137.10724200000001</v>
      </c>
      <c r="F64" s="38"/>
      <c r="G64" s="24">
        <f t="shared" si="2"/>
        <v>1.3952046017251276E-7</v>
      </c>
      <c r="H64" s="4"/>
      <c r="I64" s="7">
        <f t="shared" si="3"/>
        <v>1.386023519811668E-8</v>
      </c>
      <c r="J64" s="4"/>
    </row>
    <row r="65" spans="1:10" x14ac:dyDescent="0.3">
      <c r="A65" s="5">
        <v>90013.846153999999</v>
      </c>
      <c r="B65" s="4">
        <v>9</v>
      </c>
      <c r="C65" s="5">
        <v>-130.62948</v>
      </c>
      <c r="D65" s="7">
        <v>-147.40970200000001</v>
      </c>
      <c r="E65" s="7">
        <v>-147.45898199999999</v>
      </c>
      <c r="F65" s="38"/>
      <c r="G65" s="24">
        <f t="shared" si="2"/>
        <v>4.2369262058477889E-8</v>
      </c>
      <c r="H65" s="4"/>
      <c r="I65" s="7">
        <f t="shared" si="3"/>
        <v>4.261033023047809E-8</v>
      </c>
      <c r="J65" s="4"/>
    </row>
    <row r="66" spans="1:10" x14ac:dyDescent="0.3">
      <c r="A66" s="12">
        <v>20006</v>
      </c>
      <c r="B66">
        <v>1</v>
      </c>
      <c r="C66" s="8">
        <v>16.900198</v>
      </c>
      <c r="D66" s="12">
        <v>0</v>
      </c>
      <c r="E66" s="8">
        <v>16.880948</v>
      </c>
      <c r="F66" s="44"/>
      <c r="G66" s="28">
        <f t="shared" si="2"/>
        <v>6.9830861508951587</v>
      </c>
      <c r="I66" s="8">
        <f t="shared" si="3"/>
        <v>1</v>
      </c>
    </row>
    <row r="67" spans="1:10" x14ac:dyDescent="0.3">
      <c r="A67" s="13">
        <v>40012.153846000001</v>
      </c>
      <c r="B67">
        <v>2</v>
      </c>
      <c r="C67" s="8">
        <v>-75.828571999999994</v>
      </c>
      <c r="D67" s="13">
        <v>-92.728769999999997</v>
      </c>
      <c r="E67" s="13">
        <v>-112.83653</v>
      </c>
      <c r="F67" s="46">
        <f>A66</f>
        <v>20006</v>
      </c>
      <c r="G67" s="28">
        <f t="shared" ref="G67:G98" si="4">10^(E67/20)</f>
        <v>2.281253247263224E-6</v>
      </c>
      <c r="H67" s="15">
        <f>20*LOG10(SQRT(SUMSQ(G67:G69))/G66)</f>
        <v>-125.74272113659245</v>
      </c>
      <c r="I67" s="8">
        <f t="shared" ref="I67:I98" si="5">10^(D67/20)</f>
        <v>2.3097315144929974E-5</v>
      </c>
      <c r="J67" s="34">
        <f>20*LOG10(SQRT(SUMSQ(I67:I69))/I66)</f>
        <v>-88.516218929776969</v>
      </c>
    </row>
    <row r="68" spans="1:10" x14ac:dyDescent="0.3">
      <c r="A68" s="13">
        <v>60018.153846000001</v>
      </c>
      <c r="B68">
        <v>3</v>
      </c>
      <c r="C68" s="8">
        <v>-73.69053599999998</v>
      </c>
      <c r="D68" s="8">
        <v>-90.590733999999998</v>
      </c>
      <c r="E68" s="8">
        <v>-112.515624</v>
      </c>
      <c r="F68" s="44"/>
      <c r="G68" s="28">
        <f t="shared" si="4"/>
        <v>2.3671119614313243E-6</v>
      </c>
      <c r="I68" s="8">
        <f t="shared" si="5"/>
        <v>2.9543592201799522E-5</v>
      </c>
    </row>
    <row r="69" spans="1:10" x14ac:dyDescent="0.3">
      <c r="A69" s="13">
        <v>80024.153846000001</v>
      </c>
      <c r="B69">
        <v>4</v>
      </c>
      <c r="C69" s="8">
        <v>-103.266299</v>
      </c>
      <c r="D69" s="8">
        <v>-120.16649700000001</v>
      </c>
      <c r="E69" s="8">
        <v>-116.59743700000001</v>
      </c>
      <c r="F69" s="44"/>
      <c r="G69" s="28">
        <f t="shared" si="4"/>
        <v>1.4795449023679331E-6</v>
      </c>
      <c r="I69" s="8">
        <f t="shared" si="5"/>
        <v>9.8101387526928326E-7</v>
      </c>
    </row>
    <row r="70" spans="1:10" x14ac:dyDescent="0.3">
      <c r="A70" s="3">
        <v>20006</v>
      </c>
      <c r="B70" s="4">
        <v>1</v>
      </c>
      <c r="C70" s="7">
        <v>16.991437000000001</v>
      </c>
      <c r="D70" s="3">
        <v>0</v>
      </c>
      <c r="E70" s="7">
        <v>16.978194999999999</v>
      </c>
      <c r="F70" s="38"/>
      <c r="G70" s="24">
        <f t="shared" si="4"/>
        <v>7.0617079085932648</v>
      </c>
      <c r="H70" s="4"/>
      <c r="I70" s="7">
        <f t="shared" si="5"/>
        <v>1</v>
      </c>
      <c r="J70" s="4"/>
    </row>
    <row r="71" spans="1:10" x14ac:dyDescent="0.3">
      <c r="A71" s="3">
        <v>40012</v>
      </c>
      <c r="B71" s="4">
        <v>2</v>
      </c>
      <c r="C71" s="5">
        <v>-75.535539999999983</v>
      </c>
      <c r="D71" s="7">
        <v>-92.526977000000002</v>
      </c>
      <c r="E71" s="5">
        <v>-114.32119</v>
      </c>
      <c r="F71" s="41"/>
      <c r="G71" s="24">
        <f t="shared" si="4"/>
        <v>1.922828276057916E-6</v>
      </c>
      <c r="H71" s="4"/>
      <c r="I71" s="7">
        <f t="shared" si="5"/>
        <v>2.3640200194443722E-5</v>
      </c>
      <c r="J71" s="4"/>
    </row>
    <row r="72" spans="1:10" x14ac:dyDescent="0.3">
      <c r="A72" s="3">
        <v>60018</v>
      </c>
      <c r="B72" s="4">
        <v>3</v>
      </c>
      <c r="C72" s="7">
        <v>-73.656120999999999</v>
      </c>
      <c r="D72" s="7">
        <v>-90.647558000000004</v>
      </c>
      <c r="E72" s="7">
        <v>-112.633484</v>
      </c>
      <c r="F72" s="38"/>
      <c r="G72" s="24">
        <f t="shared" si="4"/>
        <v>2.335209237806383E-6</v>
      </c>
      <c r="H72" s="25"/>
      <c r="I72" s="7">
        <f t="shared" si="5"/>
        <v>2.9350945770105737E-5</v>
      </c>
      <c r="J72" s="25"/>
    </row>
    <row r="73" spans="1:10" x14ac:dyDescent="0.3">
      <c r="A73" s="3">
        <v>80024</v>
      </c>
      <c r="B73" s="4">
        <v>4</v>
      </c>
      <c r="C73" s="7">
        <v>-103.363968</v>
      </c>
      <c r="D73" s="7">
        <v>-120.35540399999999</v>
      </c>
      <c r="E73" s="7">
        <v>-116.385361</v>
      </c>
      <c r="F73" s="39">
        <f>A70</f>
        <v>20006</v>
      </c>
      <c r="G73" s="26">
        <f t="shared" si="4"/>
        <v>1.5161143208334116E-6</v>
      </c>
      <c r="H73" s="9">
        <f>20*LOG10(SQRT(SUMSQ(G71:G78))/G70)</f>
        <v>-125.89430451849879</v>
      </c>
      <c r="I73" s="27">
        <f t="shared" si="5"/>
        <v>9.5990841739340472E-7</v>
      </c>
      <c r="J73" s="33">
        <f>20*LOG10(SQRT(SUMSQ(I71:I78))/I70)</f>
        <v>-88.333037420985221</v>
      </c>
    </row>
    <row r="74" spans="1:10" x14ac:dyDescent="0.3">
      <c r="A74" s="3">
        <v>100030</v>
      </c>
      <c r="B74" s="4">
        <v>5</v>
      </c>
      <c r="C74" s="7">
        <v>-88.37230599999998</v>
      </c>
      <c r="D74" s="7">
        <v>-105.36374300000001</v>
      </c>
      <c r="E74" s="7">
        <v>-127.087126</v>
      </c>
      <c r="F74" s="38"/>
      <c r="G74" s="24">
        <f t="shared" si="4"/>
        <v>4.4222541686980093E-7</v>
      </c>
      <c r="H74" s="4"/>
      <c r="I74" s="7">
        <f t="shared" si="5"/>
        <v>5.3927818193616158E-6</v>
      </c>
      <c r="J74" s="4"/>
    </row>
    <row r="75" spans="1:10" x14ac:dyDescent="0.3">
      <c r="A75" s="3">
        <v>120036</v>
      </c>
      <c r="B75" s="4">
        <v>6</v>
      </c>
      <c r="C75" s="7">
        <v>-113.258268</v>
      </c>
      <c r="D75" s="7">
        <v>-130.24970500000001</v>
      </c>
      <c r="E75" s="7">
        <v>-123.839747</v>
      </c>
      <c r="F75" s="38"/>
      <c r="G75" s="24">
        <f t="shared" si="4"/>
        <v>6.4270643760559738E-7</v>
      </c>
      <c r="H75" s="4"/>
      <c r="I75" s="7">
        <f t="shared" si="5"/>
        <v>3.0726617207051529E-7</v>
      </c>
      <c r="J75" s="4"/>
    </row>
    <row r="76" spans="1:10" x14ac:dyDescent="0.3">
      <c r="A76" s="3">
        <v>140042</v>
      </c>
      <c r="B76" s="4">
        <v>7</v>
      </c>
      <c r="C76" s="7">
        <v>-91.488065000000006</v>
      </c>
      <c r="D76" s="7">
        <v>-108.479502</v>
      </c>
      <c r="E76" s="7">
        <v>-125.57712100000001</v>
      </c>
      <c r="F76" s="38"/>
      <c r="G76" s="24">
        <f t="shared" si="4"/>
        <v>5.2619164745939681E-7</v>
      </c>
      <c r="H76" s="4"/>
      <c r="I76" s="7">
        <f t="shared" si="5"/>
        <v>3.7672539767762145E-6</v>
      </c>
      <c r="J76" s="4"/>
    </row>
    <row r="77" spans="1:10" x14ac:dyDescent="0.3">
      <c r="A77" s="3">
        <v>160048.5</v>
      </c>
      <c r="B77" s="4">
        <v>8</v>
      </c>
      <c r="C77" s="7">
        <v>-118.519552</v>
      </c>
      <c r="D77" s="7">
        <v>-135.510989</v>
      </c>
      <c r="E77" s="7">
        <v>-124.375229</v>
      </c>
      <c r="F77" s="38"/>
      <c r="G77" s="24">
        <f t="shared" si="4"/>
        <v>6.042804584159544E-7</v>
      </c>
      <c r="H77" s="4"/>
      <c r="I77" s="7">
        <f t="shared" si="5"/>
        <v>1.6766814131838163E-7</v>
      </c>
      <c r="J77" s="4"/>
    </row>
    <row r="78" spans="1:10" x14ac:dyDescent="0.3">
      <c r="A78" s="3">
        <v>180054.5</v>
      </c>
      <c r="B78" s="4">
        <v>9</v>
      </c>
      <c r="C78" s="5">
        <v>-97.897819999999996</v>
      </c>
      <c r="D78" s="7">
        <v>-114.889257</v>
      </c>
      <c r="E78" s="7">
        <v>-128.69481300000001</v>
      </c>
      <c r="F78" s="38"/>
      <c r="G78" s="24">
        <f t="shared" si="4"/>
        <v>3.675016979717804E-7</v>
      </c>
      <c r="H78" s="4"/>
      <c r="I78" s="7">
        <f t="shared" si="5"/>
        <v>1.8010971955729679E-6</v>
      </c>
      <c r="J78" s="4"/>
    </row>
    <row r="79" spans="1:10" x14ac:dyDescent="0.3">
      <c r="A79" s="12">
        <v>49985.5</v>
      </c>
      <c r="B79">
        <v>1</v>
      </c>
      <c r="C79" s="8">
        <v>16.788187000000001</v>
      </c>
      <c r="D79" s="12">
        <v>0</v>
      </c>
      <c r="E79" s="8">
        <v>16.594061</v>
      </c>
      <c r="F79" s="44"/>
      <c r="G79" s="28">
        <f t="shared" si="4"/>
        <v>6.7562085987478095</v>
      </c>
      <c r="H79" s="29"/>
      <c r="I79" s="8">
        <f t="shared" si="5"/>
        <v>1</v>
      </c>
      <c r="J79" s="29"/>
    </row>
    <row r="80" spans="1:10" x14ac:dyDescent="0.3">
      <c r="A80" s="12">
        <v>99970.5</v>
      </c>
      <c r="B80">
        <v>2</v>
      </c>
      <c r="C80" s="8">
        <v>-60.074092</v>
      </c>
      <c r="D80" s="8">
        <v>-76.862279000000001</v>
      </c>
      <c r="E80" s="8">
        <v>-105.51530700000001</v>
      </c>
      <c r="F80" s="45">
        <f>A79</f>
        <v>49985.5</v>
      </c>
      <c r="G80" s="30">
        <f t="shared" si="4"/>
        <v>5.2994969921879421E-6</v>
      </c>
      <c r="H80" s="15">
        <f>20*LOG10(SQRT(SUMSQ(G80:G82))/G79)</f>
        <v>-118.74109690733658</v>
      </c>
      <c r="I80" s="31">
        <f t="shared" si="5"/>
        <v>1.4351128396588634E-4</v>
      </c>
      <c r="J80" s="34">
        <f>20*LOG10(SQRT(SUMSQ(I80:I82))/I79)</f>
        <v>-73.001149738721708</v>
      </c>
    </row>
    <row r="81" spans="1:10" x14ac:dyDescent="0.3">
      <c r="A81" s="12">
        <v>149956</v>
      </c>
      <c r="B81">
        <v>3</v>
      </c>
      <c r="C81" s="8">
        <v>-58.517974000000002</v>
      </c>
      <c r="D81" s="8">
        <v>-75.306161000000003</v>
      </c>
      <c r="E81" s="8">
        <v>-106.742485</v>
      </c>
      <c r="F81" s="44"/>
      <c r="G81" s="28">
        <f t="shared" si="4"/>
        <v>4.6012491476008112E-6</v>
      </c>
      <c r="I81" s="8">
        <f t="shared" si="5"/>
        <v>1.7166902873181922E-4</v>
      </c>
    </row>
    <row r="82" spans="1:10" x14ac:dyDescent="0.3">
      <c r="A82" s="12">
        <v>199941</v>
      </c>
      <c r="B82">
        <v>4</v>
      </c>
      <c r="C82" s="13">
        <v>-87.22251</v>
      </c>
      <c r="D82" s="8">
        <v>-104.01069699999999</v>
      </c>
      <c r="E82" s="8">
        <v>-109.303636</v>
      </c>
      <c r="F82" s="44"/>
      <c r="G82" s="28">
        <f t="shared" si="4"/>
        <v>3.4262433056178675E-6</v>
      </c>
      <c r="I82" s="8">
        <f t="shared" si="5"/>
        <v>6.3018077504852422E-6</v>
      </c>
    </row>
    <row r="83" spans="1:10" x14ac:dyDescent="0.3">
      <c r="A83" s="3">
        <v>49985</v>
      </c>
      <c r="B83" s="4">
        <v>1</v>
      </c>
      <c r="C83" s="7">
        <v>16.965627000000001</v>
      </c>
      <c r="D83" s="3">
        <v>0</v>
      </c>
      <c r="E83" s="7">
        <v>16.881195999999999</v>
      </c>
      <c r="F83" s="38"/>
      <c r="G83" s="24">
        <f t="shared" si="4"/>
        <v>6.9832855352024783</v>
      </c>
      <c r="H83" s="4"/>
      <c r="I83" s="7">
        <f t="shared" si="5"/>
        <v>1</v>
      </c>
      <c r="J83" s="4"/>
    </row>
    <row r="84" spans="1:10" x14ac:dyDescent="0.3">
      <c r="A84" s="3">
        <v>99971</v>
      </c>
      <c r="B84" s="4">
        <v>2</v>
      </c>
      <c r="C84" s="7">
        <v>-60.353518000000001</v>
      </c>
      <c r="D84" s="7">
        <v>-77.319145000000006</v>
      </c>
      <c r="E84" s="7">
        <v>-105.855352</v>
      </c>
      <c r="F84" s="38"/>
      <c r="G84" s="24">
        <f t="shared" si="4"/>
        <v>5.096034975254964E-6</v>
      </c>
      <c r="H84" s="4"/>
      <c r="I84" s="7">
        <f t="shared" si="5"/>
        <v>1.3615787035674247E-4</v>
      </c>
      <c r="J84" s="4"/>
    </row>
    <row r="85" spans="1:10" x14ac:dyDescent="0.3">
      <c r="A85" s="3">
        <v>149956</v>
      </c>
      <c r="B85" s="4">
        <v>3</v>
      </c>
      <c r="C85" s="7">
        <v>-58.387878999999998</v>
      </c>
      <c r="D85" s="7">
        <v>-75.353505999999982</v>
      </c>
      <c r="E85" s="7">
        <v>-106.519834</v>
      </c>
      <c r="F85" s="38"/>
      <c r="G85" s="24">
        <f t="shared" si="4"/>
        <v>4.7207206316197109E-6</v>
      </c>
      <c r="H85" s="25"/>
      <c r="I85" s="7">
        <f t="shared" si="5"/>
        <v>1.7073584173944492E-4</v>
      </c>
      <c r="J85" s="25"/>
    </row>
    <row r="86" spans="1:10" x14ac:dyDescent="0.3">
      <c r="A86" s="3">
        <v>199941</v>
      </c>
      <c r="B86" s="4">
        <v>4</v>
      </c>
      <c r="C86" s="7">
        <v>-87.090241000000006</v>
      </c>
      <c r="D86" s="7">
        <v>-104.055868</v>
      </c>
      <c r="E86" s="7">
        <v>-109.166327</v>
      </c>
      <c r="F86" s="39">
        <f>A83</f>
        <v>49985</v>
      </c>
      <c r="G86" s="26">
        <f t="shared" si="4"/>
        <v>3.4808367058709411E-6</v>
      </c>
      <c r="H86" s="9">
        <f>20*LOG10(SQRT(SUMSQ(G84:G91))/G83)</f>
        <v>-118.00528478015383</v>
      </c>
      <c r="I86" s="27">
        <f t="shared" si="5"/>
        <v>6.2691202462443637E-6</v>
      </c>
      <c r="J86" s="33">
        <f>20*LOG10(SQRT(SUMSQ(I84:I91))/I83)</f>
        <v>-73.086956453125239</v>
      </c>
    </row>
    <row r="87" spans="1:10" x14ac:dyDescent="0.3">
      <c r="A87" s="3">
        <v>249926</v>
      </c>
      <c r="B87" s="4">
        <v>5</v>
      </c>
      <c r="C87" s="7">
        <v>-74.830082000000004</v>
      </c>
      <c r="D87" s="7">
        <v>-91.795709000000002</v>
      </c>
      <c r="E87" s="7">
        <v>-113.516873</v>
      </c>
      <c r="F87" s="38"/>
      <c r="G87" s="24">
        <f t="shared" si="4"/>
        <v>2.1093874120854412E-6</v>
      </c>
      <c r="H87" s="4"/>
      <c r="I87" s="7">
        <f t="shared" si="5"/>
        <v>2.5716659224579336E-5</v>
      </c>
      <c r="J87" s="4"/>
    </row>
    <row r="88" spans="1:10" x14ac:dyDescent="0.3">
      <c r="A88" s="3">
        <v>299912</v>
      </c>
      <c r="B88" s="4">
        <v>6</v>
      </c>
      <c r="C88" s="7">
        <v>-89.680828000000005</v>
      </c>
      <c r="D88" s="7">
        <v>-106.646455</v>
      </c>
      <c r="E88" s="7">
        <v>-112.898653</v>
      </c>
      <c r="F88" s="38"/>
      <c r="G88" s="24">
        <f t="shared" si="4"/>
        <v>2.2649955338409399E-6</v>
      </c>
      <c r="H88" s="4"/>
      <c r="I88" s="7">
        <f t="shared" si="5"/>
        <v>4.6524021740600938E-6</v>
      </c>
      <c r="J88" s="4"/>
    </row>
    <row r="89" spans="1:10" x14ac:dyDescent="0.3">
      <c r="A89" s="3">
        <v>349897</v>
      </c>
      <c r="B89" s="4">
        <v>7</v>
      </c>
      <c r="C89" s="5">
        <v>-77.029740000000004</v>
      </c>
      <c r="D89" s="7">
        <v>-93.995367000000002</v>
      </c>
      <c r="E89" s="7">
        <v>-115.48041600000001</v>
      </c>
      <c r="F89" s="38"/>
      <c r="G89" s="24">
        <f t="shared" si="4"/>
        <v>1.6825934733959455E-6</v>
      </c>
      <c r="H89" s="4"/>
      <c r="I89" s="7">
        <f t="shared" si="5"/>
        <v>1.9963268594759639E-5</v>
      </c>
      <c r="J89" s="4"/>
    </row>
    <row r="90" spans="1:10" x14ac:dyDescent="0.3">
      <c r="A90" s="3">
        <v>399882</v>
      </c>
      <c r="B90" s="4">
        <v>8</v>
      </c>
      <c r="C90" s="7">
        <v>-93.586566000000005</v>
      </c>
      <c r="D90" s="7">
        <v>-110.552194</v>
      </c>
      <c r="E90" s="5">
        <v>-114.97962</v>
      </c>
      <c r="F90" s="41"/>
      <c r="G90" s="24">
        <f t="shared" si="4"/>
        <v>1.782456746650658E-6</v>
      </c>
      <c r="H90" s="4"/>
      <c r="I90" s="7">
        <f t="shared" si="5"/>
        <v>2.9674970780623477E-6</v>
      </c>
      <c r="J90" s="4"/>
    </row>
    <row r="91" spans="1:10" x14ac:dyDescent="0.3">
      <c r="A91" s="3">
        <v>449867</v>
      </c>
      <c r="B91" s="4">
        <v>9</v>
      </c>
      <c r="C91" s="7">
        <v>-78.178892000000005</v>
      </c>
      <c r="D91" s="7">
        <v>-95.144519000000003</v>
      </c>
      <c r="E91" s="7">
        <v>-119.07857199999999</v>
      </c>
      <c r="F91" s="38"/>
      <c r="G91" s="24">
        <f t="shared" si="4"/>
        <v>1.1119145160896864E-6</v>
      </c>
      <c r="H91" s="4"/>
      <c r="I91" s="7">
        <f t="shared" si="5"/>
        <v>1.7489365342428742E-5</v>
      </c>
      <c r="J91" s="4"/>
    </row>
    <row r="92" spans="1:10" x14ac:dyDescent="0.3">
      <c r="A92" s="12">
        <v>100026</v>
      </c>
      <c r="B92">
        <v>1</v>
      </c>
      <c r="C92" s="8">
        <v>17.304665</v>
      </c>
      <c r="D92" s="12">
        <v>0</v>
      </c>
      <c r="E92" s="8">
        <v>16.989995</v>
      </c>
      <c r="F92" s="44"/>
      <c r="G92" s="28">
        <f t="shared" si="4"/>
        <v>7.0713079362397799</v>
      </c>
      <c r="H92" s="29"/>
      <c r="I92" s="8">
        <f t="shared" si="5"/>
        <v>1</v>
      </c>
      <c r="J92" s="29"/>
    </row>
    <row r="93" spans="1:10" x14ac:dyDescent="0.3">
      <c r="A93" s="12">
        <v>200052</v>
      </c>
      <c r="B93">
        <v>2</v>
      </c>
      <c r="C93" s="8">
        <v>-47.925598000000001</v>
      </c>
      <c r="D93" s="8">
        <v>-65.23026400000002</v>
      </c>
      <c r="E93" s="8">
        <v>-102.03918299999999</v>
      </c>
      <c r="F93" s="45">
        <f>A92</f>
        <v>100026</v>
      </c>
      <c r="G93" s="30">
        <f t="shared" si="4"/>
        <v>7.9075300320464384E-6</v>
      </c>
      <c r="H93" s="15">
        <f>20*LOG10(SQRT(SUMSQ(G93:G95))/G92)</f>
        <v>-112.05433778794331</v>
      </c>
      <c r="I93" s="31">
        <f t="shared" si="5"/>
        <v>5.4762945599177103E-4</v>
      </c>
      <c r="J93" s="34">
        <f>20*LOG10(SQRT(SUMSQ(I93:I95))/I92)</f>
        <v>-46.156371556379099</v>
      </c>
    </row>
    <row r="94" spans="1:10" x14ac:dyDescent="0.3">
      <c r="A94" s="12">
        <v>300078</v>
      </c>
      <c r="B94">
        <v>3</v>
      </c>
      <c r="C94" s="8">
        <v>-28.905932</v>
      </c>
      <c r="D94" s="8">
        <v>-46.210597</v>
      </c>
      <c r="E94" s="8">
        <v>-96.759112999999999</v>
      </c>
      <c r="F94" s="44"/>
      <c r="G94" s="28">
        <f t="shared" si="4"/>
        <v>1.4522599142881302E-5</v>
      </c>
      <c r="I94" s="8">
        <f t="shared" si="5"/>
        <v>4.8918164146560805E-3</v>
      </c>
    </row>
    <row r="95" spans="1:10" x14ac:dyDescent="0.3">
      <c r="A95" s="12">
        <v>400104</v>
      </c>
      <c r="B95">
        <v>4</v>
      </c>
      <c r="C95" s="8">
        <v>-73.885611999999981</v>
      </c>
      <c r="D95" s="8">
        <v>-91.190278000000006</v>
      </c>
      <c r="E95" s="8">
        <v>-104.185929</v>
      </c>
      <c r="F95" s="44"/>
      <c r="G95" s="28">
        <f t="shared" si="4"/>
        <v>6.175946852568009E-6</v>
      </c>
      <c r="I95" s="8">
        <f t="shared" si="5"/>
        <v>2.7573132005530854E-5</v>
      </c>
    </row>
    <row r="96" spans="1:10" x14ac:dyDescent="0.3">
      <c r="A96" s="3">
        <v>100026</v>
      </c>
      <c r="B96" s="4">
        <v>1</v>
      </c>
      <c r="C96" s="7">
        <v>17.303294999999999</v>
      </c>
      <c r="D96" s="3">
        <v>0</v>
      </c>
      <c r="E96" s="7">
        <v>16.984351</v>
      </c>
      <c r="F96" s="38"/>
      <c r="G96" s="24">
        <f t="shared" si="4"/>
        <v>7.0667145670210942</v>
      </c>
      <c r="H96" s="4"/>
      <c r="I96" s="7">
        <f t="shared" si="5"/>
        <v>1</v>
      </c>
      <c r="J96" s="4"/>
    </row>
    <row r="97" spans="1:10" x14ac:dyDescent="0.3">
      <c r="A97" s="3">
        <v>200052</v>
      </c>
      <c r="B97" s="4">
        <v>2</v>
      </c>
      <c r="C97" s="7">
        <v>-47.934769000000003</v>
      </c>
      <c r="D97" s="7">
        <v>-65.238063999999994</v>
      </c>
      <c r="E97" s="7">
        <v>-102.126414</v>
      </c>
      <c r="F97" s="38"/>
      <c r="G97" s="24">
        <f t="shared" si="4"/>
        <v>7.8285134127990659E-6</v>
      </c>
      <c r="H97" s="4"/>
      <c r="I97" s="7">
        <f t="shared" si="5"/>
        <v>5.4713790100048619E-4</v>
      </c>
      <c r="J97" s="4"/>
    </row>
    <row r="98" spans="1:10" x14ac:dyDescent="0.3">
      <c r="A98" s="3">
        <v>300078</v>
      </c>
      <c r="B98" s="4">
        <v>3</v>
      </c>
      <c r="C98" s="7">
        <v>-28.910384000000001</v>
      </c>
      <c r="D98" s="7">
        <v>-46.213678999999999</v>
      </c>
      <c r="E98" s="7">
        <v>-96.722763</v>
      </c>
      <c r="F98" s="38"/>
      <c r="G98" s="24">
        <f t="shared" si="4"/>
        <v>1.4583502821511356E-5</v>
      </c>
      <c r="H98" s="25"/>
      <c r="I98" s="7">
        <f t="shared" si="5"/>
        <v>4.8900809673575714E-3</v>
      </c>
      <c r="J98" s="25"/>
    </row>
    <row r="99" spans="1:10" x14ac:dyDescent="0.3">
      <c r="A99" s="3">
        <v>400104</v>
      </c>
      <c r="B99" s="4">
        <v>4</v>
      </c>
      <c r="C99" s="7">
        <v>-73.891705000000002</v>
      </c>
      <c r="D99" s="3">
        <v>-91.194999999999993</v>
      </c>
      <c r="E99" s="7">
        <v>-104.16255200000001</v>
      </c>
      <c r="F99" s="39">
        <f>A96</f>
        <v>100026</v>
      </c>
      <c r="G99" s="26">
        <f t="shared" ref="G99:G104" si="6">10^(E99/20)</f>
        <v>6.1925910391632529E-6</v>
      </c>
      <c r="H99" s="9">
        <f>20*LOG10(SQRT(SUMSQ(G97:G104))/G96)</f>
        <v>-108.92898646017949</v>
      </c>
      <c r="I99" s="27">
        <f t="shared" ref="I99:I104" si="7">10^(D99/20)</f>
        <v>2.7558146212469909E-5</v>
      </c>
      <c r="J99" s="33">
        <f>20*LOG10(SQRT(SUMSQ(I97:I104))/I96)</f>
        <v>-45.006206614518717</v>
      </c>
    </row>
    <row r="100" spans="1:10" x14ac:dyDescent="0.3">
      <c r="A100" s="3">
        <v>500130</v>
      </c>
      <c r="B100" s="4">
        <v>5</v>
      </c>
      <c r="C100" s="7">
        <v>-34.775772000000003</v>
      </c>
      <c r="D100" s="7">
        <v>-52.079067000000002</v>
      </c>
      <c r="E100" s="7">
        <v>-96.522482999999994</v>
      </c>
      <c r="F100" s="38"/>
      <c r="G100" s="24">
        <f t="shared" si="6"/>
        <v>1.4923677314921975E-5</v>
      </c>
      <c r="H100" s="4"/>
      <c r="I100" s="7">
        <f t="shared" si="7"/>
        <v>2.4891246747299452E-3</v>
      </c>
      <c r="J100" s="4"/>
    </row>
    <row r="101" spans="1:10" x14ac:dyDescent="0.3">
      <c r="A101" s="3">
        <v>600156</v>
      </c>
      <c r="B101" s="4">
        <v>6</v>
      </c>
      <c r="C101" s="7">
        <v>-69.063771000000003</v>
      </c>
      <c r="D101" s="7">
        <v>-86.367065999999994</v>
      </c>
      <c r="E101" s="7">
        <v>-103.741934</v>
      </c>
      <c r="F101" s="38"/>
      <c r="G101" s="24">
        <f t="shared" si="6"/>
        <v>6.4998494859491706E-6</v>
      </c>
      <c r="H101" s="4"/>
      <c r="I101" s="7">
        <f t="shared" si="7"/>
        <v>4.8044834311020575E-5</v>
      </c>
      <c r="J101" s="4"/>
    </row>
    <row r="102" spans="1:10" x14ac:dyDescent="0.3">
      <c r="A102" s="3">
        <v>700182</v>
      </c>
      <c r="B102" s="4">
        <v>7</v>
      </c>
      <c r="C102" s="7">
        <v>-42.602173999999998</v>
      </c>
      <c r="D102" s="7">
        <v>-59.905468999999997</v>
      </c>
      <c r="E102" s="7">
        <v>-105.917717</v>
      </c>
      <c r="F102" s="38"/>
      <c r="G102" s="24">
        <f t="shared" si="6"/>
        <v>5.0595763047592899E-6</v>
      </c>
      <c r="H102" s="4"/>
      <c r="I102" s="7">
        <f t="shared" si="7"/>
        <v>1.0109427219344199E-3</v>
      </c>
      <c r="J102" s="4"/>
    </row>
    <row r="103" spans="1:10" x14ac:dyDescent="0.3">
      <c r="A103" s="3">
        <v>800208</v>
      </c>
      <c r="B103" s="4">
        <v>8</v>
      </c>
      <c r="C103" s="7">
        <v>-69.141292000000007</v>
      </c>
      <c r="D103" s="7">
        <v>-86.444586999999999</v>
      </c>
      <c r="E103" s="7">
        <v>-105.416274</v>
      </c>
      <c r="F103" s="38"/>
      <c r="G103" s="24">
        <f t="shared" si="6"/>
        <v>5.3602654836910209E-6</v>
      </c>
      <c r="H103" s="4"/>
      <c r="I103" s="7">
        <f t="shared" si="7"/>
        <v>4.7617945102964153E-5</v>
      </c>
      <c r="J103" s="4"/>
    </row>
    <row r="104" spans="1:10" x14ac:dyDescent="0.3">
      <c r="A104" s="3">
        <v>900234</v>
      </c>
      <c r="B104" s="4">
        <v>9</v>
      </c>
      <c r="C104" s="7">
        <v>-51.165201000000003</v>
      </c>
      <c r="D104" s="7">
        <v>-68.468496000000002</v>
      </c>
      <c r="E104" s="7">
        <v>-111.281896</v>
      </c>
      <c r="F104" s="38"/>
      <c r="G104" s="24">
        <f t="shared" si="6"/>
        <v>2.7283821527213176E-6</v>
      </c>
      <c r="H104" s="4"/>
      <c r="I104" s="7">
        <f t="shared" si="7"/>
        <v>3.7720305372505452E-4</v>
      </c>
      <c r="J104" s="4"/>
    </row>
  </sheetData>
  <mergeCells count="2">
    <mergeCell ref="G1:H1"/>
    <mergeCell ref="I1:J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9"/>
  <sheetViews>
    <sheetView topLeftCell="O1" workbookViewId="0">
      <selection activeCell="AK8" sqref="AK8"/>
    </sheetView>
  </sheetViews>
  <sheetFormatPr baseColWidth="10" defaultColWidth="8.88671875" defaultRowHeight="14.4" x14ac:dyDescent="0.3"/>
  <cols>
    <col min="13" max="13" width="10.44140625" customWidth="1"/>
  </cols>
  <sheetData>
    <row r="1" spans="1:22" x14ac:dyDescent="0.3">
      <c r="A1" t="s">
        <v>13</v>
      </c>
      <c r="B1" s="47" t="s">
        <v>14</v>
      </c>
      <c r="G1" t="s">
        <v>13</v>
      </c>
      <c r="H1" s="47" t="s">
        <v>14</v>
      </c>
      <c r="L1" s="47" t="s">
        <v>15</v>
      </c>
      <c r="M1" s="48">
        <v>45453</v>
      </c>
      <c r="N1" s="47" t="s">
        <v>16</v>
      </c>
      <c r="O1" s="47" t="s">
        <v>17</v>
      </c>
      <c r="S1" t="s">
        <v>18</v>
      </c>
    </row>
    <row r="2" spans="1:22" x14ac:dyDescent="0.3">
      <c r="A2" t="s">
        <v>19</v>
      </c>
      <c r="C2" t="s">
        <v>20</v>
      </c>
      <c r="G2" t="s">
        <v>21</v>
      </c>
      <c r="I2" t="s">
        <v>22</v>
      </c>
      <c r="S2" t="s">
        <v>23</v>
      </c>
      <c r="U2" t="s">
        <v>24</v>
      </c>
    </row>
    <row r="3" spans="1:22" x14ac:dyDescent="0.3">
      <c r="A3" t="s">
        <v>25</v>
      </c>
      <c r="B3" t="s">
        <v>26</v>
      </c>
      <c r="C3" t="s">
        <v>25</v>
      </c>
      <c r="D3" t="s">
        <v>26</v>
      </c>
      <c r="G3" t="s">
        <v>25</v>
      </c>
      <c r="H3" t="s">
        <v>26</v>
      </c>
      <c r="I3" t="s">
        <v>25</v>
      </c>
      <c r="J3" t="s">
        <v>26</v>
      </c>
      <c r="S3" t="s">
        <v>25</v>
      </c>
      <c r="T3" t="s">
        <v>26</v>
      </c>
      <c r="U3" t="s">
        <v>25</v>
      </c>
      <c r="V3" t="s">
        <v>26</v>
      </c>
    </row>
    <row r="4" spans="1:22" x14ac:dyDescent="0.3">
      <c r="A4" t="s">
        <v>27</v>
      </c>
      <c r="B4" t="s">
        <v>28</v>
      </c>
      <c r="C4" t="s">
        <v>27</v>
      </c>
      <c r="D4" t="s">
        <v>28</v>
      </c>
      <c r="G4" t="s">
        <v>27</v>
      </c>
      <c r="H4" t="s">
        <v>28</v>
      </c>
      <c r="I4" t="s">
        <v>27</v>
      </c>
      <c r="J4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49" t="s">
        <v>33</v>
      </c>
      <c r="S4" t="s">
        <v>27</v>
      </c>
      <c r="T4" t="s">
        <v>34</v>
      </c>
      <c r="U4" t="s">
        <v>27</v>
      </c>
      <c r="V4" t="s">
        <v>34</v>
      </c>
    </row>
    <row r="5" spans="1:22" x14ac:dyDescent="0.3">
      <c r="A5">
        <v>20000</v>
      </c>
      <c r="B5">
        <v>-9.6261677258397942E-3</v>
      </c>
      <c r="C5">
        <v>20000</v>
      </c>
      <c r="D5">
        <v>6.860826569890178E-3</v>
      </c>
      <c r="G5">
        <v>20000</v>
      </c>
      <c r="H5">
        <v>5.1635448454900295E-3</v>
      </c>
      <c r="I5">
        <v>20000</v>
      </c>
      <c r="J5">
        <v>-5.50685473966571E-3</v>
      </c>
      <c r="L5">
        <v>20000</v>
      </c>
      <c r="M5">
        <f t="shared" ref="M5:M68" si="0">10^(D5/20)</f>
        <v>1.0007901938880928</v>
      </c>
      <c r="N5">
        <f t="shared" ref="N5:N68" si="1">10^(J5/20)</f>
        <v>0.99936620085394312</v>
      </c>
      <c r="O5">
        <f t="shared" ref="O5:O68" si="2">M5/N5</f>
        <v>1.0014248961321013</v>
      </c>
      <c r="P5">
        <f t="shared" ref="P5:P68" si="3">D5-J5</f>
        <v>1.2367681309555888E-2</v>
      </c>
      <c r="S5">
        <v>20000</v>
      </c>
      <c r="T5">
        <v>0</v>
      </c>
      <c r="U5">
        <v>20000</v>
      </c>
      <c r="V5">
        <v>-0.52390040578177399</v>
      </c>
    </row>
    <row r="6" spans="1:22" x14ac:dyDescent="0.3">
      <c r="A6">
        <v>19725.043589738092</v>
      </c>
      <c r="B6">
        <v>-9.5792261329884169E-3</v>
      </c>
      <c r="C6">
        <v>19725.043589738092</v>
      </c>
      <c r="D6">
        <v>6.4828720498736102E-3</v>
      </c>
      <c r="G6" s="50">
        <v>19725.043589738092</v>
      </c>
      <c r="H6">
        <v>4.77511653295322E-3</v>
      </c>
      <c r="I6" s="50">
        <v>19725.043589738092</v>
      </c>
      <c r="J6">
        <v>-5.4900641642323398E-3</v>
      </c>
      <c r="L6">
        <v>19725.043589738092</v>
      </c>
      <c r="M6">
        <f t="shared" si="0"/>
        <v>1.0007466468291655</v>
      </c>
      <c r="N6">
        <f t="shared" si="1"/>
        <v>0.99936813271705671</v>
      </c>
      <c r="O6">
        <f t="shared" si="2"/>
        <v>1.0013793857008038</v>
      </c>
      <c r="P6">
        <f t="shared" si="3"/>
        <v>1.197293621410595E-2</v>
      </c>
      <c r="S6">
        <v>19725.043589738092</v>
      </c>
      <c r="T6">
        <v>0</v>
      </c>
      <c r="U6">
        <v>19725.043589738092</v>
      </c>
      <c r="V6">
        <v>-0.51616990259537898</v>
      </c>
    </row>
    <row r="7" spans="1:22" x14ac:dyDescent="0.3">
      <c r="A7">
        <v>19453.8672308528</v>
      </c>
      <c r="B7">
        <v>-9.5394139672166905E-3</v>
      </c>
      <c r="C7">
        <v>19453.8672308528</v>
      </c>
      <c r="D7">
        <v>6.1088143788416991E-3</v>
      </c>
      <c r="G7" s="50">
        <v>19453.8672308528</v>
      </c>
      <c r="H7">
        <v>4.4093091901873998E-3</v>
      </c>
      <c r="I7" s="50">
        <v>19453.8672308528</v>
      </c>
      <c r="J7">
        <v>-5.4356819022863996E-3</v>
      </c>
      <c r="L7">
        <v>19453.8672308528</v>
      </c>
      <c r="M7">
        <f t="shared" si="0"/>
        <v>1.0007035506219475</v>
      </c>
      <c r="N7">
        <f t="shared" si="1"/>
        <v>0.99937438976981408</v>
      </c>
      <c r="O7">
        <f t="shared" si="2"/>
        <v>1.0013299929093036</v>
      </c>
      <c r="P7">
        <f t="shared" si="3"/>
        <v>1.1544496281128098E-2</v>
      </c>
      <c r="S7">
        <v>19453.8672308528</v>
      </c>
      <c r="T7">
        <v>0</v>
      </c>
      <c r="U7">
        <v>19453.8672308528</v>
      </c>
      <c r="V7">
        <v>-0.50934206706466501</v>
      </c>
    </row>
    <row r="8" spans="1:22" x14ac:dyDescent="0.3">
      <c r="A8">
        <v>19186.418955876998</v>
      </c>
      <c r="B8">
        <v>-9.4964272421693922E-3</v>
      </c>
      <c r="C8">
        <v>19186.418955876998</v>
      </c>
      <c r="D8">
        <v>5.7773353292768712E-3</v>
      </c>
      <c r="G8" s="50">
        <v>19186.418955876998</v>
      </c>
      <c r="H8">
        <v>4.0770401123751202E-3</v>
      </c>
      <c r="I8" s="50">
        <v>19186.418955876998</v>
      </c>
      <c r="J8">
        <v>-5.3530749480029888E-3</v>
      </c>
      <c r="L8">
        <v>19186.418955876998</v>
      </c>
      <c r="M8">
        <f t="shared" si="0"/>
        <v>1.0006653615651897</v>
      </c>
      <c r="N8">
        <f t="shared" si="1"/>
        <v>0.99938389434223418</v>
      </c>
      <c r="O8">
        <f t="shared" si="2"/>
        <v>1.0012822572288889</v>
      </c>
      <c r="P8">
        <f t="shared" si="3"/>
        <v>1.1130410277279859E-2</v>
      </c>
      <c r="S8">
        <v>19186.418955876998</v>
      </c>
      <c r="T8">
        <v>0</v>
      </c>
      <c r="U8">
        <v>19186.418955876998</v>
      </c>
      <c r="V8">
        <v>-0.50158755727636606</v>
      </c>
    </row>
    <row r="9" spans="1:22" x14ac:dyDescent="0.3">
      <c r="A9">
        <v>18922.647511782001</v>
      </c>
      <c r="B9">
        <v>-9.4375935265487276E-3</v>
      </c>
      <c r="C9">
        <v>18922.647511782001</v>
      </c>
      <c r="D9">
        <v>5.4375092150330991E-3</v>
      </c>
      <c r="G9" s="50">
        <v>18922.647511782001</v>
      </c>
      <c r="H9">
        <v>3.7410222880164996E-3</v>
      </c>
      <c r="I9" s="50">
        <v>18922.647511782001</v>
      </c>
      <c r="J9">
        <v>-5.2986925110912802E-3</v>
      </c>
      <c r="L9">
        <v>18922.647511782001</v>
      </c>
      <c r="M9">
        <f t="shared" si="0"/>
        <v>1.0006262123722289</v>
      </c>
      <c r="N9">
        <f t="shared" si="1"/>
        <v>0.99939015151380683</v>
      </c>
      <c r="O9">
        <f t="shared" si="2"/>
        <v>1.0012368151282558</v>
      </c>
      <c r="P9">
        <f t="shared" si="3"/>
        <v>1.073620172612438E-2</v>
      </c>
      <c r="S9">
        <v>18922.647511782001</v>
      </c>
      <c r="T9">
        <v>0</v>
      </c>
      <c r="U9">
        <v>18922.647511782001</v>
      </c>
      <c r="V9">
        <v>-0.494339874241291</v>
      </c>
    </row>
    <row r="10" spans="1:22" x14ac:dyDescent="0.3">
      <c r="A10">
        <v>18662.502350156999</v>
      </c>
      <c r="B10">
        <v>-9.3702339686629992E-3</v>
      </c>
      <c r="C10">
        <v>18662.502350156999</v>
      </c>
      <c r="D10">
        <v>5.1168062874010897E-3</v>
      </c>
      <c r="G10" s="50">
        <v>18662.502350156999</v>
      </c>
      <c r="H10">
        <v>3.4075409142618998E-3</v>
      </c>
      <c r="I10" s="50">
        <v>18662.502350156999</v>
      </c>
      <c r="J10">
        <v>-5.229769564644899E-3</v>
      </c>
      <c r="L10">
        <v>18662.502350156999</v>
      </c>
      <c r="M10">
        <f t="shared" si="0"/>
        <v>1.0005892676440586</v>
      </c>
      <c r="N10">
        <f t="shared" si="1"/>
        <v>0.99939808175354605</v>
      </c>
      <c r="O10">
        <f t="shared" si="2"/>
        <v>1.0011919033188683</v>
      </c>
      <c r="P10">
        <f t="shared" si="3"/>
        <v>1.034657585204599E-2</v>
      </c>
      <c r="S10">
        <v>18662.502350156999</v>
      </c>
      <c r="T10">
        <v>0</v>
      </c>
      <c r="U10">
        <v>18662.502350156999</v>
      </c>
      <c r="V10">
        <v>-0.48709529136857599</v>
      </c>
    </row>
    <row r="11" spans="1:22" x14ac:dyDescent="0.3">
      <c r="A11">
        <v>18405.933617521292</v>
      </c>
      <c r="B11">
        <v>-9.3014282725395678E-3</v>
      </c>
      <c r="C11">
        <v>18405.933617521292</v>
      </c>
      <c r="D11">
        <v>4.8306780583734794E-3</v>
      </c>
      <c r="G11" s="50">
        <v>18405.933617521292</v>
      </c>
      <c r="H11">
        <v>3.1047228969870201E-3</v>
      </c>
      <c r="I11" s="50">
        <v>18405.933617521292</v>
      </c>
      <c r="J11">
        <v>-5.1789091418736003E-3</v>
      </c>
      <c r="L11">
        <v>18405.933617521292</v>
      </c>
      <c r="M11">
        <f t="shared" si="0"/>
        <v>1.0005563070457135</v>
      </c>
      <c r="N11">
        <f t="shared" si="1"/>
        <v>0.99940393376869818</v>
      </c>
      <c r="O11">
        <f t="shared" si="2"/>
        <v>1.0011530605774883</v>
      </c>
      <c r="P11">
        <f t="shared" si="3"/>
        <v>1.000958720024708E-2</v>
      </c>
      <c r="S11">
        <v>18405.933617521292</v>
      </c>
      <c r="T11">
        <v>0</v>
      </c>
      <c r="U11">
        <v>18405.933617521292</v>
      </c>
      <c r="V11">
        <v>-0.48055993664007685</v>
      </c>
    </row>
    <row r="12" spans="1:22" x14ac:dyDescent="0.3">
      <c r="A12">
        <v>18152.892145771199</v>
      </c>
      <c r="B12">
        <v>-9.2710109986189598E-3</v>
      </c>
      <c r="C12">
        <v>18152.892145771199</v>
      </c>
      <c r="D12">
        <v>4.5088534000051802E-3</v>
      </c>
      <c r="G12" s="50">
        <v>18152.892145771199</v>
      </c>
      <c r="H12">
        <v>2.7935513200292301E-3</v>
      </c>
      <c r="I12" s="50">
        <v>18152.892145771199</v>
      </c>
      <c r="J12">
        <v>-5.1464537031574711E-3</v>
      </c>
      <c r="L12">
        <v>18152.892145771199</v>
      </c>
      <c r="M12">
        <f t="shared" si="0"/>
        <v>1.0005192356874721</v>
      </c>
      <c r="N12">
        <f t="shared" si="1"/>
        <v>0.99940766811890036</v>
      </c>
      <c r="O12">
        <f t="shared" si="2"/>
        <v>1.0011122263757131</v>
      </c>
      <c r="P12">
        <f t="shared" si="3"/>
        <v>9.6553071031626504E-3</v>
      </c>
      <c r="S12">
        <v>18152.892145771199</v>
      </c>
      <c r="T12">
        <v>0</v>
      </c>
      <c r="U12">
        <v>18152.892145771199</v>
      </c>
      <c r="V12">
        <v>-0.47386221747609608</v>
      </c>
    </row>
    <row r="13" spans="1:22" x14ac:dyDescent="0.3">
      <c r="A13">
        <v>17903.329442757</v>
      </c>
      <c r="B13">
        <v>-9.2097190765517995E-3</v>
      </c>
      <c r="C13">
        <v>17903.329442757</v>
      </c>
      <c r="D13">
        <v>4.2055635861983007E-3</v>
      </c>
      <c r="G13" s="50">
        <v>17903.329442757</v>
      </c>
      <c r="H13">
        <v>2.5159317222637695E-3</v>
      </c>
      <c r="I13" s="50">
        <v>17903.329442757</v>
      </c>
      <c r="J13">
        <v>-5.0626904386766808E-3</v>
      </c>
      <c r="L13">
        <v>17903.329442757</v>
      </c>
      <c r="M13">
        <f t="shared" si="0"/>
        <v>1.0004843006367643</v>
      </c>
      <c r="N13">
        <f t="shared" si="1"/>
        <v>0.99941730605536627</v>
      </c>
      <c r="O13">
        <f t="shared" si="2"/>
        <v>1.0010676166751697</v>
      </c>
      <c r="P13">
        <f t="shared" si="3"/>
        <v>9.2682540248749806E-3</v>
      </c>
      <c r="S13">
        <v>17903.329442757</v>
      </c>
      <c r="T13">
        <v>0</v>
      </c>
      <c r="U13">
        <v>17903.329442757</v>
      </c>
      <c r="V13">
        <v>-0.46612591205422393</v>
      </c>
    </row>
    <row r="14" spans="1:22" x14ac:dyDescent="0.3">
      <c r="A14">
        <v>17657.1976829907</v>
      </c>
      <c r="B14">
        <v>-9.1802175457870484E-3</v>
      </c>
      <c r="C14">
        <v>17657.1976829907</v>
      </c>
      <c r="D14">
        <v>3.9012802086012799E-3</v>
      </c>
      <c r="G14" s="50">
        <v>17657.1976829907</v>
      </c>
      <c r="H14">
        <v>2.2032449285703886E-3</v>
      </c>
      <c r="I14" s="50">
        <v>17657.1976829907</v>
      </c>
      <c r="J14">
        <v>-5.0455427824424E-3</v>
      </c>
      <c r="L14">
        <v>17657.1976829907</v>
      </c>
      <c r="M14">
        <f t="shared" si="0"/>
        <v>1.0004492523662265</v>
      </c>
      <c r="N14">
        <f t="shared" si="1"/>
        <v>0.99941927910384243</v>
      </c>
      <c r="O14">
        <f t="shared" si="2"/>
        <v>1.0010305717369268</v>
      </c>
      <c r="P14">
        <f t="shared" si="3"/>
        <v>8.9468229910436795E-3</v>
      </c>
      <c r="S14">
        <v>17657.1976829907</v>
      </c>
      <c r="T14">
        <v>0</v>
      </c>
      <c r="U14">
        <v>17657.1976829907</v>
      </c>
      <c r="V14">
        <v>-0.46005606203902999</v>
      </c>
    </row>
    <row r="15" spans="1:22" x14ac:dyDescent="0.3">
      <c r="A15">
        <v>17414.449698480301</v>
      </c>
      <c r="B15">
        <v>-9.1534534017848196E-3</v>
      </c>
      <c r="C15">
        <v>17414.449698480301</v>
      </c>
      <c r="D15">
        <v>3.5948130804834694E-3</v>
      </c>
      <c r="G15" s="50">
        <v>17414.449698480301</v>
      </c>
      <c r="H15">
        <v>1.8800919320646301E-3</v>
      </c>
      <c r="I15" s="50">
        <v>17414.449698480301</v>
      </c>
      <c r="J15">
        <v>-5.0294743239230003E-3</v>
      </c>
      <c r="L15">
        <v>17414.449698480301</v>
      </c>
      <c r="M15">
        <f t="shared" si="0"/>
        <v>1.0004139538058003</v>
      </c>
      <c r="N15">
        <f t="shared" si="1"/>
        <v>0.99942112798090088</v>
      </c>
      <c r="O15">
        <f t="shared" si="2"/>
        <v>1.0009934008768708</v>
      </c>
      <c r="P15">
        <f t="shared" si="3"/>
        <v>8.6242874044064697E-3</v>
      </c>
      <c r="S15">
        <v>17414.449698480301</v>
      </c>
      <c r="T15">
        <v>0</v>
      </c>
      <c r="U15">
        <v>17414.449698480301</v>
      </c>
      <c r="V15">
        <v>-0.45360083998980405</v>
      </c>
    </row>
    <row r="16" spans="1:22" x14ac:dyDescent="0.3">
      <c r="A16">
        <v>17175.038969690795</v>
      </c>
      <c r="B16">
        <v>-9.1153131524246474E-3</v>
      </c>
      <c r="C16">
        <v>17175.038969690795</v>
      </c>
      <c r="D16">
        <v>3.2986288726463697E-3</v>
      </c>
      <c r="G16" s="50">
        <v>17175.038969690795</v>
      </c>
      <c r="H16">
        <v>1.5690698534178596E-3</v>
      </c>
      <c r="I16" s="50">
        <v>17175.038969690795</v>
      </c>
      <c r="J16">
        <v>-5.0251871805221488E-3</v>
      </c>
      <c r="L16">
        <v>17175.038969690795</v>
      </c>
      <c r="M16">
        <f t="shared" si="0"/>
        <v>1.0003798408047297</v>
      </c>
      <c r="N16">
        <f t="shared" si="1"/>
        <v>0.99942162127092993</v>
      </c>
      <c r="O16">
        <f t="shared" si="2"/>
        <v>1.000958774068327</v>
      </c>
      <c r="P16">
        <f t="shared" si="3"/>
        <v>8.3238160531685194E-3</v>
      </c>
      <c r="S16">
        <v>17175.038969690795</v>
      </c>
      <c r="T16">
        <v>0</v>
      </c>
      <c r="U16">
        <v>17175.038969690795</v>
      </c>
      <c r="V16">
        <v>-0.44693011399391497</v>
      </c>
    </row>
    <row r="17" spans="1:22" x14ac:dyDescent="0.3">
      <c r="A17">
        <v>16938.919616629595</v>
      </c>
      <c r="B17">
        <v>-9.1186868114419405E-3</v>
      </c>
      <c r="C17">
        <v>16938.919616629595</v>
      </c>
      <c r="D17">
        <v>3.0047723788998205E-3</v>
      </c>
      <c r="G17" s="50">
        <v>16938.919616629595</v>
      </c>
      <c r="H17">
        <v>1.27411416613324E-3</v>
      </c>
      <c r="I17" s="50">
        <v>16938.919616629595</v>
      </c>
      <c r="J17">
        <v>-5.002367521063901E-3</v>
      </c>
      <c r="L17">
        <v>16938.919616629595</v>
      </c>
      <c r="M17">
        <f t="shared" si="0"/>
        <v>1.0003459970475499</v>
      </c>
      <c r="N17">
        <f t="shared" si="1"/>
        <v>0.99942424696524113</v>
      </c>
      <c r="O17">
        <f t="shared" si="2"/>
        <v>1.0009222810884444</v>
      </c>
      <c r="P17">
        <f t="shared" si="3"/>
        <v>8.0071398999637215E-3</v>
      </c>
      <c r="S17">
        <v>16938.919616629595</v>
      </c>
      <c r="T17">
        <v>0</v>
      </c>
      <c r="U17">
        <v>16938.919616629595</v>
      </c>
      <c r="V17">
        <v>-0.44045967949097087</v>
      </c>
    </row>
    <row r="18" spans="1:22" x14ac:dyDescent="0.3">
      <c r="A18">
        <v>16706.046390054002</v>
      </c>
      <c r="B18">
        <v>-9.1299469043554706E-3</v>
      </c>
      <c r="C18">
        <v>16706.046390054002</v>
      </c>
      <c r="D18">
        <v>2.6816666077771802E-3</v>
      </c>
      <c r="G18" s="50">
        <v>16706.046390054002</v>
      </c>
      <c r="H18">
        <v>9.4493380863132402E-4</v>
      </c>
      <c r="I18" s="50">
        <v>16706.046390054002</v>
      </c>
      <c r="J18">
        <v>-5.0194177458759807E-3</v>
      </c>
      <c r="L18">
        <v>16706.046390054002</v>
      </c>
      <c r="M18">
        <f t="shared" si="0"/>
        <v>1.0003087859423396</v>
      </c>
      <c r="N18">
        <f t="shared" si="1"/>
        <v>0.99942228511768383</v>
      </c>
      <c r="O18">
        <f t="shared" si="2"/>
        <v>1.00088701326542</v>
      </c>
      <c r="P18">
        <f t="shared" si="3"/>
        <v>7.701084353653161E-3</v>
      </c>
      <c r="S18">
        <v>16706.046390054002</v>
      </c>
      <c r="T18">
        <v>0</v>
      </c>
      <c r="U18">
        <v>16706.046390054002</v>
      </c>
      <c r="V18">
        <v>-0.43441694087908889</v>
      </c>
    </row>
    <row r="19" spans="1:22" x14ac:dyDescent="0.3">
      <c r="A19">
        <v>16476.374662799601</v>
      </c>
      <c r="B19">
        <v>-9.1190870878744678E-3</v>
      </c>
      <c r="C19">
        <v>16476.374662799601</v>
      </c>
      <c r="D19">
        <v>2.3931194618545498E-3</v>
      </c>
      <c r="G19" s="50">
        <v>16476.374662799601</v>
      </c>
      <c r="H19">
        <v>6.4791942789855204E-4</v>
      </c>
      <c r="I19" s="50">
        <v>16476.374662799601</v>
      </c>
      <c r="J19">
        <v>-5.0294286687918499E-3</v>
      </c>
      <c r="L19">
        <v>16476.374662799601</v>
      </c>
      <c r="M19">
        <f t="shared" si="0"/>
        <v>1.0002755560185177</v>
      </c>
      <c r="N19">
        <f t="shared" si="1"/>
        <v>0.99942113323409942</v>
      </c>
      <c r="O19">
        <f t="shared" si="2"/>
        <v>1.0008549176678438</v>
      </c>
      <c r="P19">
        <f t="shared" si="3"/>
        <v>7.4225481306463992E-3</v>
      </c>
      <c r="S19">
        <v>16476.374662799601</v>
      </c>
      <c r="T19">
        <v>0</v>
      </c>
      <c r="U19">
        <v>16476.374662799601</v>
      </c>
      <c r="V19">
        <v>-0.42834367838850085</v>
      </c>
    </row>
    <row r="20" spans="1:22" x14ac:dyDescent="0.3">
      <c r="A20">
        <v>16249.860421228499</v>
      </c>
      <c r="B20">
        <v>-9.1516382402377795E-3</v>
      </c>
      <c r="C20">
        <v>16249.860421228499</v>
      </c>
      <c r="D20">
        <v>2.0820369547836694E-3</v>
      </c>
      <c r="G20" s="50">
        <v>16249.860421228499</v>
      </c>
      <c r="H20">
        <v>3.1815144942435095E-4</v>
      </c>
      <c r="I20" s="50">
        <v>16249.860421228499</v>
      </c>
      <c r="J20">
        <v>-5.0617009211776712E-3</v>
      </c>
      <c r="L20">
        <v>16249.860421228499</v>
      </c>
      <c r="M20">
        <f t="shared" si="0"/>
        <v>1.000239732093904</v>
      </c>
      <c r="N20">
        <f t="shared" si="1"/>
        <v>0.99941741991140287</v>
      </c>
      <c r="O20">
        <f t="shared" si="2"/>
        <v>1.0008227915244603</v>
      </c>
      <c r="P20">
        <f t="shared" si="3"/>
        <v>7.1437378759613406E-3</v>
      </c>
      <c r="S20">
        <v>16249.860421228499</v>
      </c>
      <c r="T20">
        <v>0</v>
      </c>
      <c r="U20">
        <v>16249.860421228499</v>
      </c>
      <c r="V20">
        <v>-0.42224588130829888</v>
      </c>
    </row>
    <row r="21" spans="1:22" x14ac:dyDescent="0.3">
      <c r="A21">
        <v>16026.460256794202</v>
      </c>
      <c r="B21">
        <v>-9.2227563101621099E-3</v>
      </c>
      <c r="C21">
        <v>16026.460256794202</v>
      </c>
      <c r="D21">
        <v>1.7389963897097502E-3</v>
      </c>
      <c r="G21" s="50">
        <v>16026.460256794202</v>
      </c>
      <c r="H21">
        <v>-3.0412618655187095E-6</v>
      </c>
      <c r="I21" s="50">
        <v>16026.460256794202</v>
      </c>
      <c r="J21">
        <v>-5.1059717600900612E-3</v>
      </c>
      <c r="L21">
        <v>16026.460256794202</v>
      </c>
      <c r="M21">
        <f t="shared" si="0"/>
        <v>1.000200229401417</v>
      </c>
      <c r="N21">
        <f t="shared" si="1"/>
        <v>0.99941232602503194</v>
      </c>
      <c r="O21">
        <f t="shared" si="2"/>
        <v>1.000788366678965</v>
      </c>
      <c r="P21">
        <f t="shared" si="3"/>
        <v>6.8449681497998113E-3</v>
      </c>
      <c r="S21">
        <v>16026.460256794202</v>
      </c>
      <c r="T21">
        <v>0</v>
      </c>
      <c r="U21">
        <v>16026.460256794202</v>
      </c>
      <c r="V21">
        <v>-0.41650884334552485</v>
      </c>
    </row>
    <row r="22" spans="1:22" x14ac:dyDescent="0.3">
      <c r="A22">
        <v>15806.131357723101</v>
      </c>
      <c r="B22">
        <v>-9.2907889475067791E-3</v>
      </c>
      <c r="C22">
        <v>15806.131357723101</v>
      </c>
      <c r="D22">
        <v>1.4032176002121001E-3</v>
      </c>
      <c r="G22" s="50">
        <v>15806.131357723101</v>
      </c>
      <c r="H22">
        <v>-3.3658228787235208E-4</v>
      </c>
      <c r="I22" s="50">
        <v>15806.131357723101</v>
      </c>
      <c r="J22">
        <v>-5.1553142867508221E-3</v>
      </c>
      <c r="L22">
        <v>15806.131357723101</v>
      </c>
      <c r="M22">
        <f t="shared" si="0"/>
        <v>1.0001615644465534</v>
      </c>
      <c r="N22">
        <f t="shared" si="1"/>
        <v>0.99940664861128048</v>
      </c>
      <c r="O22">
        <f t="shared" si="2"/>
        <v>1.0007553640315701</v>
      </c>
      <c r="P22">
        <f t="shared" si="3"/>
        <v>6.5585318869629226E-3</v>
      </c>
      <c r="S22">
        <v>15806.131357723101</v>
      </c>
      <c r="T22">
        <v>0</v>
      </c>
      <c r="U22">
        <v>15806.131357723101</v>
      </c>
      <c r="V22">
        <v>-0.40981329058888594</v>
      </c>
    </row>
    <row r="23" spans="1:22" x14ac:dyDescent="0.3">
      <c r="A23">
        <v>15588.8315008103</v>
      </c>
      <c r="B23">
        <v>-9.3217417356113424E-3</v>
      </c>
      <c r="C23">
        <v>15588.8315008103</v>
      </c>
      <c r="D23">
        <v>1.0908825442126303E-3</v>
      </c>
      <c r="G23" s="50">
        <v>15588.8315008103</v>
      </c>
      <c r="H23">
        <v>-6.6652888810010702E-4</v>
      </c>
      <c r="I23" s="50">
        <v>15588.8315008103</v>
      </c>
      <c r="J23">
        <v>-5.2177642896193985E-3</v>
      </c>
      <c r="L23">
        <v>15588.8315008103</v>
      </c>
      <c r="M23">
        <f t="shared" si="0"/>
        <v>1.0001256003812931</v>
      </c>
      <c r="N23">
        <f t="shared" si="1"/>
        <v>0.99939946308091998</v>
      </c>
      <c r="O23">
        <f t="shared" si="2"/>
        <v>1.0007265736346651</v>
      </c>
      <c r="P23">
        <f t="shared" si="3"/>
        <v>6.3086468338320288E-3</v>
      </c>
      <c r="S23">
        <v>15588.8315008103</v>
      </c>
      <c r="T23">
        <v>0</v>
      </c>
      <c r="U23">
        <v>15588.8315008103</v>
      </c>
      <c r="V23">
        <v>-0.40430866503817209</v>
      </c>
    </row>
    <row r="24" spans="1:22" x14ac:dyDescent="0.3">
      <c r="A24">
        <v>15374.519043327802</v>
      </c>
      <c r="B24">
        <v>-9.379202634670139E-3</v>
      </c>
      <c r="C24">
        <v>15374.519043327802</v>
      </c>
      <c r="D24">
        <v>7.72209184957007E-4</v>
      </c>
      <c r="G24" s="50">
        <v>15374.519043327802</v>
      </c>
      <c r="H24">
        <v>-9.9427390525741368E-4</v>
      </c>
      <c r="I24" s="50">
        <v>15374.519043327802</v>
      </c>
      <c r="J24">
        <v>-5.2965157250670098E-3</v>
      </c>
      <c r="L24">
        <v>15374.519043327802</v>
      </c>
      <c r="M24">
        <f t="shared" si="0"/>
        <v>1.0000889078199637</v>
      </c>
      <c r="N24">
        <f t="shared" si="1"/>
        <v>0.99939040197275542</v>
      </c>
      <c r="O24">
        <f t="shared" si="2"/>
        <v>1.0006989319147248</v>
      </c>
      <c r="P24">
        <f t="shared" si="3"/>
        <v>6.0687249100240172E-3</v>
      </c>
      <c r="S24">
        <v>15374.519043327802</v>
      </c>
      <c r="T24">
        <v>0</v>
      </c>
      <c r="U24">
        <v>15374.519043327802</v>
      </c>
      <c r="V24">
        <v>-0.39849317052357902</v>
      </c>
    </row>
    <row r="25" spans="1:22" x14ac:dyDescent="0.3">
      <c r="A25">
        <v>15163.152915044602</v>
      </c>
      <c r="B25">
        <v>-9.483683318095907E-3</v>
      </c>
      <c r="C25">
        <v>15163.152915044602</v>
      </c>
      <c r="D25">
        <v>4.3874050909534397E-4</v>
      </c>
      <c r="G25" s="50">
        <v>15163.152915044602</v>
      </c>
      <c r="H25">
        <v>-1.3363788119034497E-3</v>
      </c>
      <c r="I25" s="50">
        <v>15163.152915044602</v>
      </c>
      <c r="J25">
        <v>-5.3694573693120889E-3</v>
      </c>
      <c r="L25">
        <v>15163.152915044602</v>
      </c>
      <c r="M25">
        <f t="shared" si="0"/>
        <v>1.0000505131435427</v>
      </c>
      <c r="N25">
        <f t="shared" si="1"/>
        <v>0.99938200941009148</v>
      </c>
      <c r="O25">
        <f t="shared" si="2"/>
        <v>1.0006689171179355</v>
      </c>
      <c r="P25">
        <f t="shared" si="3"/>
        <v>5.8081978784074329E-3</v>
      </c>
      <c r="S25">
        <v>15163.152915044602</v>
      </c>
      <c r="T25">
        <v>0</v>
      </c>
      <c r="U25">
        <v>15163.152915044602</v>
      </c>
      <c r="V25">
        <v>-0.39300984853485893</v>
      </c>
    </row>
    <row r="26" spans="1:22" x14ac:dyDescent="0.3">
      <c r="A26">
        <v>14954.692610355502</v>
      </c>
      <c r="B26">
        <v>-9.5328738766904172E-3</v>
      </c>
      <c r="C26">
        <v>14954.692610355502</v>
      </c>
      <c r="D26">
        <v>1.2921679984323898E-4</v>
      </c>
      <c r="G26" s="50">
        <v>14954.692610355502</v>
      </c>
      <c r="H26">
        <v>-1.6519251692545102E-3</v>
      </c>
      <c r="I26" s="50">
        <v>14954.692610355502</v>
      </c>
      <c r="J26">
        <v>-5.4527845730100999E-3</v>
      </c>
      <c r="L26">
        <v>14954.692610355502</v>
      </c>
      <c r="M26">
        <f t="shared" si="0"/>
        <v>1.0000148767445118</v>
      </c>
      <c r="N26">
        <f t="shared" si="1"/>
        <v>0.99937242198585596</v>
      </c>
      <c r="O26">
        <f t="shared" si="2"/>
        <v>1.0006428582023299</v>
      </c>
      <c r="P26">
        <f t="shared" si="3"/>
        <v>5.582001372853339E-3</v>
      </c>
      <c r="S26">
        <v>14954.692610355502</v>
      </c>
      <c r="T26">
        <v>0</v>
      </c>
      <c r="U26">
        <v>14954.692610355502</v>
      </c>
      <c r="V26">
        <v>-0.38743150746148602</v>
      </c>
    </row>
    <row r="27" spans="1:22" x14ac:dyDescent="0.3">
      <c r="A27">
        <v>14749.098180519501</v>
      </c>
      <c r="B27">
        <v>-9.6264238636685189E-3</v>
      </c>
      <c r="C27">
        <v>14749.098180519501</v>
      </c>
      <c r="D27">
        <v>-2.0637912820856003E-4</v>
      </c>
      <c r="G27" s="50">
        <v>14749.098180519501</v>
      </c>
      <c r="H27">
        <v>-1.9875408938257798E-3</v>
      </c>
      <c r="I27" s="50">
        <v>14749.098180519501</v>
      </c>
      <c r="J27">
        <v>-5.5698693512909519E-3</v>
      </c>
      <c r="L27">
        <v>14749.098180519501</v>
      </c>
      <c r="M27">
        <f t="shared" si="0"/>
        <v>0.99997624000706709</v>
      </c>
      <c r="N27">
        <f t="shared" si="1"/>
        <v>0.99935895065307645</v>
      </c>
      <c r="O27">
        <f t="shared" si="2"/>
        <v>1.000617685320762</v>
      </c>
      <c r="P27">
        <f t="shared" si="3"/>
        <v>5.3634902230823922E-3</v>
      </c>
      <c r="S27">
        <v>14749.098180519501</v>
      </c>
      <c r="T27">
        <v>0</v>
      </c>
      <c r="U27">
        <v>14749.098180519501</v>
      </c>
      <c r="V27">
        <v>-0.38253108245726203</v>
      </c>
    </row>
    <row r="28" spans="1:22" x14ac:dyDescent="0.3">
      <c r="A28">
        <v>14546.3302260033</v>
      </c>
      <c r="B28">
        <v>-9.7116738845094072E-3</v>
      </c>
      <c r="C28">
        <v>14546.3302260033</v>
      </c>
      <c r="D28">
        <v>-5.3914144133513492E-4</v>
      </c>
      <c r="G28" s="50">
        <v>14546.3302260033</v>
      </c>
      <c r="H28">
        <v>-2.2972694579995994E-3</v>
      </c>
      <c r="I28" s="50">
        <v>14546.3302260033</v>
      </c>
      <c r="J28">
        <v>-5.6530646367059208E-3</v>
      </c>
      <c r="L28">
        <v>14546.3302260033</v>
      </c>
      <c r="M28">
        <f t="shared" si="0"/>
        <v>0.99993793097407002</v>
      </c>
      <c r="N28">
        <f t="shared" si="1"/>
        <v>0.99934937862782369</v>
      </c>
      <c r="O28">
        <f t="shared" si="2"/>
        <v>1.0005889355202826</v>
      </c>
      <c r="P28">
        <f t="shared" si="3"/>
        <v>5.1139231953707858E-3</v>
      </c>
      <c r="S28">
        <v>14546.3302260033</v>
      </c>
      <c r="T28">
        <v>0</v>
      </c>
      <c r="U28">
        <v>14546.3302260033</v>
      </c>
      <c r="V28">
        <v>-0.37651199808749403</v>
      </c>
    </row>
    <row r="29" spans="1:22" x14ac:dyDescent="0.3">
      <c r="A29">
        <v>14346.3498889316</v>
      </c>
      <c r="B29">
        <v>-9.8131391443151382E-3</v>
      </c>
      <c r="C29">
        <v>14346.3498889316</v>
      </c>
      <c r="D29">
        <v>-8.5226142058639882E-4</v>
      </c>
      <c r="G29" s="50">
        <v>14346.3498889316</v>
      </c>
      <c r="H29">
        <v>-2.6469214451405798E-3</v>
      </c>
      <c r="I29" s="50">
        <v>14346.3498889316</v>
      </c>
      <c r="J29">
        <v>-5.7864546427780199E-3</v>
      </c>
      <c r="L29">
        <v>14346.3498889316</v>
      </c>
      <c r="M29">
        <f t="shared" si="0"/>
        <v>0.99990188459151275</v>
      </c>
      <c r="N29">
        <f t="shared" si="1"/>
        <v>0.99933403164534196</v>
      </c>
      <c r="O29">
        <f t="shared" si="2"/>
        <v>1.0005682313702815</v>
      </c>
      <c r="P29">
        <f t="shared" si="3"/>
        <v>4.9341932221916209E-3</v>
      </c>
      <c r="S29">
        <v>14346.3498889316</v>
      </c>
      <c r="T29">
        <v>0</v>
      </c>
      <c r="U29">
        <v>14346.3498889316</v>
      </c>
      <c r="V29">
        <v>-0.37127921607731201</v>
      </c>
    </row>
    <row r="30" spans="1:22" x14ac:dyDescent="0.3">
      <c r="A30">
        <v>14149.1188456401</v>
      </c>
      <c r="B30">
        <v>-9.9089118779027274E-3</v>
      </c>
      <c r="C30">
        <v>14149.1188456401</v>
      </c>
      <c r="D30">
        <v>-1.1568336222121699E-3</v>
      </c>
      <c r="G30" s="50">
        <v>14149.1188456401</v>
      </c>
      <c r="H30">
        <v>-2.9531730737546E-3</v>
      </c>
      <c r="I30" s="50">
        <v>14149.1188456401</v>
      </c>
      <c r="J30">
        <v>-5.8423746158648288E-3</v>
      </c>
      <c r="L30">
        <v>14149.1188456401</v>
      </c>
      <c r="M30">
        <f t="shared" si="0"/>
        <v>0.99986682347610178</v>
      </c>
      <c r="N30">
        <f t="shared" si="1"/>
        <v>0.99932759792875159</v>
      </c>
      <c r="O30">
        <f t="shared" si="2"/>
        <v>1.0005395883676862</v>
      </c>
      <c r="P30">
        <f t="shared" si="3"/>
        <v>4.6855409936526586E-3</v>
      </c>
      <c r="S30">
        <v>14149.1188456401</v>
      </c>
      <c r="T30">
        <v>0</v>
      </c>
      <c r="U30">
        <v>14149.1188456401</v>
      </c>
      <c r="V30">
        <v>-0.36630219133849101</v>
      </c>
    </row>
    <row r="31" spans="1:22" x14ac:dyDescent="0.3">
      <c r="A31">
        <v>13954.599299331399</v>
      </c>
      <c r="B31">
        <v>-9.9958151038160789E-3</v>
      </c>
      <c r="C31">
        <v>13954.599299331399</v>
      </c>
      <c r="D31">
        <v>-1.4659622114712801E-3</v>
      </c>
      <c r="G31" s="50">
        <v>13954.599299331399</v>
      </c>
      <c r="H31">
        <v>-3.2781496801546801E-3</v>
      </c>
      <c r="I31" s="50">
        <v>13954.599299331399</v>
      </c>
      <c r="J31">
        <v>-5.971626777412818E-3</v>
      </c>
      <c r="L31">
        <v>13954.599299331399</v>
      </c>
      <c r="M31">
        <f t="shared" si="0"/>
        <v>0.99983123910497096</v>
      </c>
      <c r="N31">
        <f t="shared" si="1"/>
        <v>0.99931272734019017</v>
      </c>
      <c r="O31">
        <f t="shared" si="2"/>
        <v>1.0005188683688246</v>
      </c>
      <c r="P31">
        <f t="shared" si="3"/>
        <v>4.5056645659415379E-3</v>
      </c>
      <c r="S31">
        <v>13954.599299331399</v>
      </c>
      <c r="T31">
        <v>0</v>
      </c>
      <c r="U31">
        <v>13954.599299331399</v>
      </c>
      <c r="V31">
        <v>-0.36071444463658497</v>
      </c>
    </row>
    <row r="32" spans="1:22" x14ac:dyDescent="0.3">
      <c r="A32">
        <v>13762.753972831699</v>
      </c>
      <c r="B32">
        <v>-1.00954473768484E-2</v>
      </c>
      <c r="C32">
        <v>13762.753972831699</v>
      </c>
      <c r="D32">
        <v>-1.8005428687382198E-3</v>
      </c>
      <c r="G32" s="50">
        <v>13762.753972831699</v>
      </c>
      <c r="H32">
        <v>-3.5933323549947205E-3</v>
      </c>
      <c r="I32" s="50">
        <v>13762.753972831699</v>
      </c>
      <c r="J32">
        <v>-6.0599736943074993E-3</v>
      </c>
      <c r="L32">
        <v>13762.753972831699</v>
      </c>
      <c r="M32">
        <f t="shared" si="0"/>
        <v>0.99979272632571414</v>
      </c>
      <c r="N32">
        <f t="shared" si="1"/>
        <v>0.99930256306765597</v>
      </c>
      <c r="O32">
        <f t="shared" si="2"/>
        <v>1.000490505354608</v>
      </c>
      <c r="P32">
        <f t="shared" si="3"/>
        <v>4.2594308255692794E-3</v>
      </c>
      <c r="S32">
        <v>13762.753972831699</v>
      </c>
      <c r="T32">
        <v>0</v>
      </c>
      <c r="U32">
        <v>13762.753972831699</v>
      </c>
      <c r="V32">
        <v>-0.35568754419421106</v>
      </c>
    </row>
    <row r="33" spans="1:22" x14ac:dyDescent="0.3">
      <c r="A33">
        <v>13573.546101446898</v>
      </c>
      <c r="B33">
        <v>-1.01915736821335E-2</v>
      </c>
      <c r="C33">
        <v>13573.546101446898</v>
      </c>
      <c r="D33">
        <v>-2.103960395777071E-3</v>
      </c>
      <c r="G33" s="50">
        <v>13573.546101446898</v>
      </c>
      <c r="H33">
        <v>-3.9054719734449911E-3</v>
      </c>
      <c r="I33" s="50">
        <v>13573.546101446898</v>
      </c>
      <c r="J33">
        <v>-6.1880043098358787E-3</v>
      </c>
      <c r="L33">
        <v>13573.546101446898</v>
      </c>
      <c r="M33">
        <f t="shared" si="0"/>
        <v>0.99975780194250774</v>
      </c>
      <c r="N33">
        <f t="shared" si="1"/>
        <v>0.99928783338714522</v>
      </c>
      <c r="O33">
        <f t="shared" si="2"/>
        <v>1.0004703034898059</v>
      </c>
      <c r="P33">
        <f t="shared" si="3"/>
        <v>4.0840439140588077E-3</v>
      </c>
      <c r="S33">
        <v>13573.546101446898</v>
      </c>
      <c r="T33">
        <v>0</v>
      </c>
      <c r="U33">
        <v>13573.546101446898</v>
      </c>
      <c r="V33">
        <v>-0.35080192834396895</v>
      </c>
    </row>
    <row r="34" spans="1:22" x14ac:dyDescent="0.3">
      <c r="A34">
        <v>13386.939425917601</v>
      </c>
      <c r="B34">
        <v>-1.0289852889754401E-2</v>
      </c>
      <c r="C34">
        <v>13386.939425917601</v>
      </c>
      <c r="D34">
        <v>-2.37625687230266E-3</v>
      </c>
      <c r="G34" s="50">
        <v>13386.939425917601</v>
      </c>
      <c r="H34">
        <v>-4.2041158969887615E-3</v>
      </c>
      <c r="I34" s="50">
        <v>13386.939425917601</v>
      </c>
      <c r="J34">
        <v>-6.2800773097207198E-3</v>
      </c>
      <c r="L34">
        <v>13386.939425917601</v>
      </c>
      <c r="M34">
        <f t="shared" si="0"/>
        <v>0.99972646073612381</v>
      </c>
      <c r="N34">
        <f t="shared" si="1"/>
        <v>0.99927724069661472</v>
      </c>
      <c r="O34">
        <f t="shared" si="2"/>
        <v>1.0004495449523056</v>
      </c>
      <c r="P34">
        <f t="shared" si="3"/>
        <v>3.9038204374180598E-3</v>
      </c>
      <c r="S34">
        <v>13386.939425917601</v>
      </c>
      <c r="T34">
        <v>0</v>
      </c>
      <c r="U34">
        <v>13386.939425917601</v>
      </c>
      <c r="V34">
        <v>-0.34625188924974298</v>
      </c>
    </row>
    <row r="35" spans="1:22" x14ac:dyDescent="0.3">
      <c r="A35">
        <v>13202.8981854701</v>
      </c>
      <c r="B35">
        <v>-1.03651533960838E-2</v>
      </c>
      <c r="C35">
        <v>13202.8981854701</v>
      </c>
      <c r="D35">
        <v>-2.6551966521842106E-3</v>
      </c>
      <c r="G35" s="50">
        <v>13202.8981854701</v>
      </c>
      <c r="H35">
        <v>-4.4874660146750006E-3</v>
      </c>
      <c r="I35" s="50">
        <v>13202.8981854701</v>
      </c>
      <c r="J35">
        <v>-6.3734036233876502E-3</v>
      </c>
      <c r="L35">
        <v>13202.8981854701</v>
      </c>
      <c r="M35">
        <f t="shared" si="0"/>
        <v>0.99969435590716127</v>
      </c>
      <c r="N35">
        <f t="shared" si="1"/>
        <v>0.99926650393111593</v>
      </c>
      <c r="O35">
        <f t="shared" si="2"/>
        <v>1.0004281660341483</v>
      </c>
      <c r="P35">
        <f t="shared" si="3"/>
        <v>3.7182069712034397E-3</v>
      </c>
      <c r="S35">
        <v>13202.8981854701</v>
      </c>
      <c r="T35">
        <v>0</v>
      </c>
      <c r="U35">
        <v>13202.8981854701</v>
      </c>
      <c r="V35">
        <v>-0.34170799695152698</v>
      </c>
    </row>
    <row r="36" spans="1:22" x14ac:dyDescent="0.3">
      <c r="A36">
        <v>13021.3871109632</v>
      </c>
      <c r="B36">
        <v>-1.0494583920978899E-2</v>
      </c>
      <c r="C36">
        <v>13021.3871109632</v>
      </c>
      <c r="D36">
        <v>-2.9390242594179092E-3</v>
      </c>
      <c r="G36" s="50">
        <v>13021.3871109632</v>
      </c>
      <c r="H36">
        <v>-4.7805336487924599E-3</v>
      </c>
      <c r="I36" s="50">
        <v>13021.3871109632</v>
      </c>
      <c r="J36">
        <v>-6.4628946072587011E-3</v>
      </c>
      <c r="L36">
        <v>13021.3871109632</v>
      </c>
      <c r="M36">
        <f t="shared" si="0"/>
        <v>0.99966168956750046</v>
      </c>
      <c r="N36">
        <f t="shared" si="1"/>
        <v>0.99925620851111441</v>
      </c>
      <c r="O36">
        <f t="shared" si="2"/>
        <v>1.0004057828742343</v>
      </c>
      <c r="P36">
        <f t="shared" si="3"/>
        <v>3.5238703478407919E-3</v>
      </c>
      <c r="S36">
        <v>13021.3871109632</v>
      </c>
      <c r="T36">
        <v>0</v>
      </c>
      <c r="U36">
        <v>13021.3871109632</v>
      </c>
      <c r="V36">
        <v>-0.33635358466318599</v>
      </c>
    </row>
    <row r="37" spans="1:22" x14ac:dyDescent="0.3">
      <c r="A37">
        <v>12842.3714181298</v>
      </c>
      <c r="B37">
        <v>-1.0560492771488801E-2</v>
      </c>
      <c r="C37">
        <v>12842.3714181298</v>
      </c>
      <c r="D37">
        <v>-3.2204983204334905E-3</v>
      </c>
      <c r="G37" s="50">
        <v>12842.3714181298</v>
      </c>
      <c r="H37">
        <v>-5.0273737250464603E-3</v>
      </c>
      <c r="I37" s="50">
        <v>12842.3714181298</v>
      </c>
      <c r="J37">
        <v>-6.5456868481299597E-3</v>
      </c>
      <c r="L37">
        <v>12842.3714181298</v>
      </c>
      <c r="M37">
        <f t="shared" si="0"/>
        <v>0.999629295156794</v>
      </c>
      <c r="N37">
        <f t="shared" si="1"/>
        <v>0.99924668383720427</v>
      </c>
      <c r="O37">
        <f t="shared" si="2"/>
        <v>1.0003828997641708</v>
      </c>
      <c r="P37">
        <f t="shared" si="3"/>
        <v>3.3251885276964692E-3</v>
      </c>
      <c r="S37">
        <v>12842.3714181298</v>
      </c>
      <c r="T37">
        <v>0</v>
      </c>
      <c r="U37">
        <v>12842.3714181298</v>
      </c>
      <c r="V37">
        <v>-0.33127916766028398</v>
      </c>
    </row>
    <row r="38" spans="1:22" x14ac:dyDescent="0.3">
      <c r="A38">
        <v>12665.816800910499</v>
      </c>
      <c r="B38">
        <v>-1.0658737787588302E-2</v>
      </c>
      <c r="C38">
        <v>12665.816800910499</v>
      </c>
      <c r="D38">
        <v>-3.4953723617021301E-3</v>
      </c>
      <c r="G38" s="50">
        <v>12665.816800910499</v>
      </c>
      <c r="H38">
        <v>-5.30633099523572E-3</v>
      </c>
      <c r="I38" s="50">
        <v>12665.816800910499</v>
      </c>
      <c r="J38">
        <v>-6.6357145813004201E-3</v>
      </c>
      <c r="L38">
        <v>12665.816800910499</v>
      </c>
      <c r="M38">
        <f t="shared" si="0"/>
        <v>0.99959766134518702</v>
      </c>
      <c r="N38">
        <f t="shared" si="1"/>
        <v>0.99923632687305142</v>
      </c>
      <c r="O38">
        <f t="shared" si="2"/>
        <v>1.0003616106244519</v>
      </c>
      <c r="P38">
        <f t="shared" si="3"/>
        <v>3.14034221959829E-3</v>
      </c>
      <c r="S38">
        <v>12665.816800910499</v>
      </c>
      <c r="T38">
        <v>0</v>
      </c>
      <c r="U38">
        <v>12665.816800910499</v>
      </c>
      <c r="V38">
        <v>-0.32701766302324092</v>
      </c>
    </row>
    <row r="39" spans="1:22" x14ac:dyDescent="0.3">
      <c r="A39">
        <v>12491.689424879502</v>
      </c>
      <c r="B39">
        <v>-1.0705879506769198E-2</v>
      </c>
      <c r="C39">
        <v>12491.689424879502</v>
      </c>
      <c r="D39">
        <v>-3.7066722356752999E-3</v>
      </c>
      <c r="G39" s="50">
        <v>12491.689424879502</v>
      </c>
      <c r="H39">
        <v>-5.5447517568783002E-3</v>
      </c>
      <c r="I39" s="50">
        <v>12491.689424879502</v>
      </c>
      <c r="J39">
        <v>-6.7172252476251203E-3</v>
      </c>
      <c r="L39">
        <v>12491.689424879502</v>
      </c>
      <c r="M39">
        <f t="shared" si="0"/>
        <v>0.99957334463157466</v>
      </c>
      <c r="N39">
        <f t="shared" si="1"/>
        <v>0.99922694982129878</v>
      </c>
      <c r="O39">
        <f t="shared" si="2"/>
        <v>1.0003466627980138</v>
      </c>
      <c r="P39">
        <f t="shared" si="3"/>
        <v>3.0105530119498205E-3</v>
      </c>
      <c r="S39">
        <v>12491.689424879502</v>
      </c>
      <c r="T39">
        <v>0</v>
      </c>
      <c r="U39">
        <v>12491.689424879502</v>
      </c>
      <c r="V39">
        <v>-0.32264506091519202</v>
      </c>
    </row>
    <row r="40" spans="1:22" x14ac:dyDescent="0.3">
      <c r="A40">
        <v>12319.955920760602</v>
      </c>
      <c r="B40">
        <v>-1.0775274132366598E-2</v>
      </c>
      <c r="C40">
        <v>12319.955920760602</v>
      </c>
      <c r="D40">
        <v>-3.9376656545956892E-3</v>
      </c>
      <c r="G40" s="50">
        <v>12319.955920760602</v>
      </c>
      <c r="H40">
        <v>-5.7967029658653902E-3</v>
      </c>
      <c r="I40" s="50">
        <v>12319.955920760602</v>
      </c>
      <c r="J40">
        <v>-6.7884608487035593E-3</v>
      </c>
      <c r="L40">
        <v>12319.955920760602</v>
      </c>
      <c r="M40">
        <f t="shared" si="0"/>
        <v>0.99954676223141015</v>
      </c>
      <c r="N40">
        <f t="shared" si="1"/>
        <v>0.99921875489326439</v>
      </c>
      <c r="O40">
        <f t="shared" si="2"/>
        <v>1.0003282637926274</v>
      </c>
      <c r="P40">
        <f t="shared" si="3"/>
        <v>2.8507951941078701E-3</v>
      </c>
      <c r="S40">
        <v>12319.955920760602</v>
      </c>
      <c r="T40">
        <v>0</v>
      </c>
      <c r="U40">
        <v>12319.955920760602</v>
      </c>
      <c r="V40">
        <v>-0.31769825368400001</v>
      </c>
    </row>
    <row r="41" spans="1:22" x14ac:dyDescent="0.3">
      <c r="A41">
        <v>12150.583378032399</v>
      </c>
      <c r="B41">
        <v>-1.0832401136162999E-2</v>
      </c>
      <c r="C41">
        <v>12150.583378032399</v>
      </c>
      <c r="D41">
        <v>-4.1559444177103003E-3</v>
      </c>
      <c r="G41" s="50">
        <v>12150.583378032399</v>
      </c>
      <c r="H41">
        <v>-6.03210125746433E-3</v>
      </c>
      <c r="I41" s="50">
        <v>12150.583378032399</v>
      </c>
      <c r="J41">
        <v>-6.8724163562731292E-3</v>
      </c>
      <c r="L41">
        <v>12150.583378032399</v>
      </c>
      <c r="M41">
        <f t="shared" si="0"/>
        <v>0.9995216436657145</v>
      </c>
      <c r="N41">
        <f t="shared" si="1"/>
        <v>0.99920909675623892</v>
      </c>
      <c r="O41">
        <f t="shared" si="2"/>
        <v>1.0003127942995016</v>
      </c>
      <c r="P41">
        <f t="shared" si="3"/>
        <v>2.7164719385628288E-3</v>
      </c>
      <c r="S41">
        <v>12150.583378032399</v>
      </c>
      <c r="T41">
        <v>0</v>
      </c>
      <c r="U41">
        <v>12150.583378032399</v>
      </c>
      <c r="V41">
        <v>-0.31359913728618999</v>
      </c>
    </row>
    <row r="42" spans="1:22" x14ac:dyDescent="0.3">
      <c r="A42">
        <v>11983.5393386215</v>
      </c>
      <c r="B42">
        <v>-1.0895265760241199E-2</v>
      </c>
      <c r="C42">
        <v>11983.5393386215</v>
      </c>
      <c r="D42">
        <v>-4.3819377573273005E-3</v>
      </c>
      <c r="G42" s="50">
        <v>11983.5393386215</v>
      </c>
      <c r="H42">
        <v>-6.2606418594608479E-3</v>
      </c>
      <c r="I42" s="50">
        <v>11983.5393386215</v>
      </c>
      <c r="J42">
        <v>-6.9469260110742006E-3</v>
      </c>
      <c r="L42">
        <v>11983.5393386215</v>
      </c>
      <c r="M42">
        <f t="shared" si="0"/>
        <v>0.99949563800537122</v>
      </c>
      <c r="N42">
        <f t="shared" si="1"/>
        <v>0.99920052533654002</v>
      </c>
      <c r="O42">
        <f t="shared" si="2"/>
        <v>1.0002953487927078</v>
      </c>
      <c r="P42">
        <f t="shared" si="3"/>
        <v>2.5649882537469E-3</v>
      </c>
      <c r="S42">
        <v>11983.5393386215</v>
      </c>
      <c r="T42">
        <v>0</v>
      </c>
      <c r="U42">
        <v>11983.5393386215</v>
      </c>
      <c r="V42">
        <v>-0.30932135283433093</v>
      </c>
    </row>
    <row r="43" spans="1:22" x14ac:dyDescent="0.3">
      <c r="A43">
        <v>11818.7917906822</v>
      </c>
      <c r="B43">
        <v>-1.09508728215465E-2</v>
      </c>
      <c r="C43">
        <v>11818.7917906822</v>
      </c>
      <c r="D43">
        <v>-4.6035986570551997E-3</v>
      </c>
      <c r="G43" s="50">
        <v>11818.7917906822</v>
      </c>
      <c r="H43">
        <v>-6.4728544190447703E-3</v>
      </c>
      <c r="I43" s="50">
        <v>11818.7917906822</v>
      </c>
      <c r="J43">
        <v>-6.9923762339472182E-3</v>
      </c>
      <c r="L43">
        <v>11818.7917906822</v>
      </c>
      <c r="M43">
        <f t="shared" si="0"/>
        <v>0.99947013154780362</v>
      </c>
      <c r="N43">
        <f t="shared" si="1"/>
        <v>0.99919529688330766</v>
      </c>
      <c r="O43">
        <f t="shared" si="2"/>
        <v>1.0002750560029188</v>
      </c>
      <c r="P43">
        <f t="shared" si="3"/>
        <v>2.3887775768920184E-3</v>
      </c>
      <c r="S43">
        <v>11818.7917906822</v>
      </c>
      <c r="T43">
        <v>0</v>
      </c>
      <c r="U43">
        <v>11818.7917906822</v>
      </c>
      <c r="V43">
        <v>-0.30435062819196901</v>
      </c>
    </row>
    <row r="44" spans="1:22" x14ac:dyDescent="0.3">
      <c r="A44">
        <v>11656.309162461999</v>
      </c>
      <c r="B44">
        <v>-1.1012063314588901E-2</v>
      </c>
      <c r="C44">
        <v>11656.309162461999</v>
      </c>
      <c r="D44">
        <v>-4.7953855736581497E-3</v>
      </c>
      <c r="G44" s="50">
        <v>11656.309162461999</v>
      </c>
      <c r="H44">
        <v>-6.6968595199355403E-3</v>
      </c>
      <c r="I44" s="50">
        <v>11656.309162461999</v>
      </c>
      <c r="J44">
        <v>-7.0504601540406098E-3</v>
      </c>
      <c r="L44">
        <v>11656.309162461999</v>
      </c>
      <c r="M44">
        <f t="shared" si="0"/>
        <v>0.99944806320632851</v>
      </c>
      <c r="N44">
        <f t="shared" si="1"/>
        <v>0.99918861512839829</v>
      </c>
      <c r="O44">
        <f t="shared" si="2"/>
        <v>1.0002596587611208</v>
      </c>
      <c r="P44">
        <f t="shared" si="3"/>
        <v>2.2550745803824601E-3</v>
      </c>
      <c r="S44">
        <v>11656.309162461999</v>
      </c>
      <c r="T44">
        <v>0</v>
      </c>
      <c r="U44">
        <v>11656.309162461999</v>
      </c>
      <c r="V44">
        <v>-0.30084694742322399</v>
      </c>
    </row>
    <row r="45" spans="1:22" x14ac:dyDescent="0.3">
      <c r="A45">
        <v>11496.060316251</v>
      </c>
      <c r="B45">
        <v>-1.10415038048276E-2</v>
      </c>
      <c r="C45">
        <v>11496.060316251</v>
      </c>
      <c r="D45">
        <v>-4.9780239076064889E-3</v>
      </c>
      <c r="G45" s="50">
        <v>11496.060316251</v>
      </c>
      <c r="H45">
        <v>-6.8564986980904682E-3</v>
      </c>
      <c r="I45" s="50">
        <v>11496.060316251</v>
      </c>
      <c r="J45">
        <v>-7.0939197138765999E-3</v>
      </c>
      <c r="L45">
        <v>11496.060316251</v>
      </c>
      <c r="M45">
        <f t="shared" si="0"/>
        <v>0.99942704801759796</v>
      </c>
      <c r="N45">
        <f t="shared" si="1"/>
        <v>0.99918361573391157</v>
      </c>
      <c r="O45">
        <f t="shared" si="2"/>
        <v>1.0002436311803489</v>
      </c>
      <c r="P45">
        <f t="shared" si="3"/>
        <v>2.115895806270111E-3</v>
      </c>
      <c r="S45">
        <v>11496.060316251</v>
      </c>
      <c r="T45">
        <v>0</v>
      </c>
      <c r="U45">
        <v>11496.060316251</v>
      </c>
      <c r="V45">
        <v>-0.296265382707531</v>
      </c>
    </row>
    <row r="46" spans="1:22" x14ac:dyDescent="0.3">
      <c r="A46">
        <v>11338.014542415101</v>
      </c>
      <c r="B46">
        <v>-1.108150626209E-2</v>
      </c>
      <c r="C46">
        <v>11338.014542415101</v>
      </c>
      <c r="D46">
        <v>-5.1487316163926896E-3</v>
      </c>
      <c r="G46" s="50">
        <v>11338.014542415101</v>
      </c>
      <c r="H46">
        <v>-7.0487966361860287E-3</v>
      </c>
      <c r="I46" s="50">
        <v>11338.014542415101</v>
      </c>
      <c r="J46">
        <v>-7.1546669088861491E-3</v>
      </c>
      <c r="L46">
        <v>11338.014542415101</v>
      </c>
      <c r="M46">
        <f t="shared" si="0"/>
        <v>0.99940740601982336</v>
      </c>
      <c r="N46">
        <f t="shared" si="1"/>
        <v>0.99917662768867577</v>
      </c>
      <c r="O46">
        <f t="shared" si="2"/>
        <v>1.0002309685042188</v>
      </c>
      <c r="P46">
        <f t="shared" si="3"/>
        <v>2.0059352924934595E-3</v>
      </c>
      <c r="S46">
        <v>11338.014542415101</v>
      </c>
      <c r="T46">
        <v>0</v>
      </c>
      <c r="U46">
        <v>11338.014542415101</v>
      </c>
      <c r="V46">
        <v>-0.29230629297148902</v>
      </c>
    </row>
    <row r="47" spans="1:22" x14ac:dyDescent="0.3">
      <c r="A47">
        <v>11182.141553510801</v>
      </c>
      <c r="B47">
        <v>-1.11155576358122E-2</v>
      </c>
      <c r="C47">
        <v>11182.141553510801</v>
      </c>
      <c r="D47">
        <v>-5.32928084719962E-3</v>
      </c>
      <c r="G47" s="50">
        <v>11182.141553510801</v>
      </c>
      <c r="H47">
        <v>-7.2203385103992487E-3</v>
      </c>
      <c r="I47" s="50">
        <v>11182.141553510801</v>
      </c>
      <c r="J47">
        <v>-7.165694436334258E-3</v>
      </c>
      <c r="L47">
        <v>11182.141553510801</v>
      </c>
      <c r="M47">
        <f t="shared" si="0"/>
        <v>0.99938663205531653</v>
      </c>
      <c r="N47">
        <f t="shared" si="1"/>
        <v>0.99917535914381128</v>
      </c>
      <c r="O47">
        <f t="shared" si="2"/>
        <v>1.0002114472795709</v>
      </c>
      <c r="P47">
        <f t="shared" si="3"/>
        <v>1.8364135891346381E-3</v>
      </c>
      <c r="S47">
        <v>11182.141553510801</v>
      </c>
      <c r="T47">
        <v>0</v>
      </c>
      <c r="U47">
        <v>11182.141553510801</v>
      </c>
      <c r="V47">
        <v>-0.28791826655242397</v>
      </c>
    </row>
    <row r="48" spans="1:22" x14ac:dyDescent="0.3">
      <c r="A48">
        <v>11028.411478480899</v>
      </c>
      <c r="B48">
        <v>-1.1150162587777101E-2</v>
      </c>
      <c r="C48">
        <v>11028.411478480899</v>
      </c>
      <c r="D48">
        <v>-5.483472452867978E-3</v>
      </c>
      <c r="G48" s="50">
        <v>11028.411478480899</v>
      </c>
      <c r="H48">
        <v>-7.3862521954944794E-3</v>
      </c>
      <c r="I48" s="50">
        <v>11028.411478480899</v>
      </c>
      <c r="J48">
        <v>-7.1929602671229002E-3</v>
      </c>
      <c r="L48">
        <v>11028.411478480899</v>
      </c>
      <c r="M48">
        <f t="shared" si="0"/>
        <v>0.99936889113663752</v>
      </c>
      <c r="N48">
        <f t="shared" si="1"/>
        <v>0.99917222264258398</v>
      </c>
      <c r="O48">
        <f t="shared" si="2"/>
        <v>1.0001968314266518</v>
      </c>
      <c r="P48">
        <f t="shared" si="3"/>
        <v>1.7094878142549222E-3</v>
      </c>
      <c r="S48">
        <v>11028.411478480899</v>
      </c>
      <c r="T48">
        <v>0</v>
      </c>
      <c r="U48">
        <v>11028.411478480899</v>
      </c>
      <c r="V48">
        <v>-0.28429513581033894</v>
      </c>
    </row>
    <row r="49" spans="1:22" x14ac:dyDescent="0.3">
      <c r="A49">
        <v>10876.794856929801</v>
      </c>
      <c r="B49">
        <v>-1.1161153742964801E-2</v>
      </c>
      <c r="C49">
        <v>10876.794856929801</v>
      </c>
      <c r="D49">
        <v>-5.6449986355925404E-3</v>
      </c>
      <c r="G49" s="50">
        <v>10876.794856929801</v>
      </c>
      <c r="H49">
        <v>-7.5277042802169977E-3</v>
      </c>
      <c r="I49" s="50">
        <v>10876.794856929801</v>
      </c>
      <c r="J49">
        <v>-7.235017715142328E-3</v>
      </c>
      <c r="L49">
        <v>10876.794856929801</v>
      </c>
      <c r="M49">
        <f t="shared" si="0"/>
        <v>0.9993503066567625</v>
      </c>
      <c r="N49">
        <f t="shared" si="1"/>
        <v>0.99916738461978716</v>
      </c>
      <c r="O49">
        <f t="shared" si="2"/>
        <v>1.0001830744675928</v>
      </c>
      <c r="P49">
        <f t="shared" si="3"/>
        <v>1.5900190795497876E-3</v>
      </c>
      <c r="S49">
        <v>10876.794856929801</v>
      </c>
      <c r="T49">
        <v>0</v>
      </c>
      <c r="U49">
        <v>10876.794856929801</v>
      </c>
      <c r="V49">
        <v>-0.280302767352055</v>
      </c>
    </row>
    <row r="50" spans="1:22" x14ac:dyDescent="0.3">
      <c r="A50">
        <v>10727.2626334787</v>
      </c>
      <c r="B50">
        <v>-1.11643682806016E-2</v>
      </c>
      <c r="C50">
        <v>10727.2626334787</v>
      </c>
      <c r="D50">
        <v>-5.7660065957310588E-3</v>
      </c>
      <c r="G50" s="50">
        <v>10727.2626334787</v>
      </c>
      <c r="H50">
        <v>-7.6707032303057103E-3</v>
      </c>
      <c r="I50" s="50">
        <v>10727.2626334787</v>
      </c>
      <c r="J50">
        <v>-7.2600702774268788E-3</v>
      </c>
      <c r="L50">
        <v>10727.2626334787</v>
      </c>
      <c r="M50">
        <f t="shared" si="0"/>
        <v>0.99933638424872495</v>
      </c>
      <c r="N50">
        <f t="shared" si="1"/>
        <v>0.99916450274261859</v>
      </c>
      <c r="O50">
        <f t="shared" si="2"/>
        <v>1.0001720252327164</v>
      </c>
      <c r="P50">
        <f t="shared" si="3"/>
        <v>1.4940636816958199E-3</v>
      </c>
      <c r="S50">
        <v>10727.2626334787</v>
      </c>
      <c r="T50">
        <v>0</v>
      </c>
      <c r="U50">
        <v>10727.2626334787</v>
      </c>
      <c r="V50">
        <v>-0.27607521661605</v>
      </c>
    </row>
    <row r="51" spans="1:22" x14ac:dyDescent="0.3">
      <c r="A51">
        <v>10579.786152196499</v>
      </c>
      <c r="B51">
        <v>-1.1187010171623E-2</v>
      </c>
      <c r="C51">
        <v>10579.786152196499</v>
      </c>
      <c r="D51">
        <v>-5.8942423393025809E-3</v>
      </c>
      <c r="G51" s="50">
        <v>10579.786152196499</v>
      </c>
      <c r="H51">
        <v>-7.8222367660609124E-3</v>
      </c>
      <c r="I51" s="50">
        <v>10579.786152196499</v>
      </c>
      <c r="J51">
        <v>-7.2721300651953803E-3</v>
      </c>
      <c r="L51">
        <v>10579.786152196499</v>
      </c>
      <c r="M51">
        <f t="shared" si="0"/>
        <v>0.99932163046947287</v>
      </c>
      <c r="N51">
        <f t="shared" si="1"/>
        <v>0.99916311546923797</v>
      </c>
      <c r="O51">
        <f t="shared" si="2"/>
        <v>1.0001586477700994</v>
      </c>
      <c r="P51">
        <f t="shared" si="3"/>
        <v>1.3778877258927994E-3</v>
      </c>
      <c r="S51">
        <v>10579.786152196499</v>
      </c>
      <c r="T51">
        <v>0</v>
      </c>
      <c r="U51">
        <v>10579.786152196499</v>
      </c>
      <c r="V51">
        <v>-0.27214549338810906</v>
      </c>
    </row>
    <row r="52" spans="1:22" x14ac:dyDescent="0.3">
      <c r="A52">
        <v>10434.337151108899</v>
      </c>
      <c r="B52">
        <v>-1.11897812789249E-2</v>
      </c>
      <c r="C52">
        <v>10434.337151108899</v>
      </c>
      <c r="D52">
        <v>-6.0257835310072805E-3</v>
      </c>
      <c r="G52" s="50">
        <v>10434.337151108899</v>
      </c>
      <c r="H52">
        <v>-7.942850600842731E-3</v>
      </c>
      <c r="I52" s="50">
        <v>10434.337151108899</v>
      </c>
      <c r="J52">
        <v>-7.2701082521365399E-3</v>
      </c>
      <c r="L52">
        <v>10434.337151108899</v>
      </c>
      <c r="M52">
        <f t="shared" si="0"/>
        <v>0.99930649661810234</v>
      </c>
      <c r="N52">
        <f t="shared" si="1"/>
        <v>0.99916334804429396</v>
      </c>
      <c r="O52">
        <f t="shared" si="2"/>
        <v>1.0001432684396285</v>
      </c>
      <c r="P52">
        <f t="shared" si="3"/>
        <v>1.2443247211292594E-3</v>
      </c>
      <c r="S52">
        <v>10434.337151108899</v>
      </c>
      <c r="T52">
        <v>0</v>
      </c>
      <c r="U52">
        <v>10434.337151108899</v>
      </c>
      <c r="V52">
        <v>-0.26819263272159288</v>
      </c>
    </row>
    <row r="53" spans="1:22" x14ac:dyDescent="0.3">
      <c r="A53">
        <v>10290.8877567821</v>
      </c>
      <c r="B53">
        <v>-1.11590905823817E-2</v>
      </c>
      <c r="C53">
        <v>10290.8877567821</v>
      </c>
      <c r="D53">
        <v>-6.1248209773715695E-3</v>
      </c>
      <c r="G53" s="50">
        <v>10290.8877567821</v>
      </c>
      <c r="H53">
        <v>-8.0636132990984394E-3</v>
      </c>
      <c r="I53" s="50">
        <v>10290.8877567821</v>
      </c>
      <c r="J53">
        <v>-7.2703242518790288E-3</v>
      </c>
      <c r="L53">
        <v>10290.8877567821</v>
      </c>
      <c r="M53">
        <f t="shared" si="0"/>
        <v>0.99929510248307862</v>
      </c>
      <c r="N53">
        <f t="shared" si="1"/>
        <v>0.99916332319721068</v>
      </c>
      <c r="O53">
        <f t="shared" si="2"/>
        <v>1.0001318896348659</v>
      </c>
      <c r="P53">
        <f t="shared" si="3"/>
        <v>1.1455032745074593E-3</v>
      </c>
      <c r="S53">
        <v>10290.8877567821</v>
      </c>
      <c r="T53">
        <v>0</v>
      </c>
      <c r="U53">
        <v>10290.8877567821</v>
      </c>
      <c r="V53">
        <v>-0.26485569800911396</v>
      </c>
    </row>
    <row r="54" spans="1:22" x14ac:dyDescent="0.3">
      <c r="A54">
        <v>10149.410478981201</v>
      </c>
      <c r="B54">
        <v>-1.1183321853009701E-2</v>
      </c>
      <c r="C54">
        <v>10149.410478981201</v>
      </c>
      <c r="D54">
        <v>-6.2411830002022887E-3</v>
      </c>
      <c r="G54" s="50">
        <v>10149.410478981201</v>
      </c>
      <c r="H54">
        <v>-8.1546852070774594E-3</v>
      </c>
      <c r="I54" s="50">
        <v>10149.410478981201</v>
      </c>
      <c r="J54">
        <v>-7.2482496466879705E-3</v>
      </c>
      <c r="L54">
        <v>10149.410478981201</v>
      </c>
      <c r="M54">
        <f t="shared" si="0"/>
        <v>0.99928171534307397</v>
      </c>
      <c r="N54">
        <f t="shared" si="1"/>
        <v>0.99916586250692185</v>
      </c>
      <c r="O54">
        <f t="shared" si="2"/>
        <v>1.0001159495540224</v>
      </c>
      <c r="P54">
        <f t="shared" si="3"/>
        <v>1.0070666464856819E-3</v>
      </c>
      <c r="S54">
        <v>10149.410478981201</v>
      </c>
      <c r="T54">
        <v>0</v>
      </c>
      <c r="U54">
        <v>10149.410478981201</v>
      </c>
      <c r="V54">
        <v>-0.26094345555242204</v>
      </c>
    </row>
    <row r="55" spans="1:22" x14ac:dyDescent="0.3">
      <c r="A55">
        <v>10009.878205402099</v>
      </c>
      <c r="B55">
        <v>-1.1148467167236999E-2</v>
      </c>
      <c r="C55">
        <v>10009.878205402099</v>
      </c>
      <c r="D55">
        <v>-6.3230274524530205E-3</v>
      </c>
      <c r="G55" s="50">
        <v>10009.878205402099</v>
      </c>
      <c r="H55">
        <v>-8.2571170936407406E-3</v>
      </c>
      <c r="I55" s="50">
        <v>10009.878205402099</v>
      </c>
      <c r="J55">
        <v>-7.2552327807799298E-3</v>
      </c>
      <c r="L55">
        <v>10009.878205402099</v>
      </c>
      <c r="M55">
        <f t="shared" si="0"/>
        <v>0.99927229946482476</v>
      </c>
      <c r="N55">
        <f t="shared" si="1"/>
        <v>0.99916505921483734</v>
      </c>
      <c r="O55">
        <f t="shared" si="2"/>
        <v>1.0001073298640684</v>
      </c>
      <c r="P55">
        <f t="shared" si="3"/>
        <v>9.3220532832690925E-4</v>
      </c>
      <c r="S55">
        <v>10009.878205402099</v>
      </c>
      <c r="T55">
        <v>0</v>
      </c>
      <c r="U55">
        <v>10009.878205402099</v>
      </c>
      <c r="V55">
        <v>-0.257461944991974</v>
      </c>
    </row>
    <row r="56" spans="1:22" x14ac:dyDescent="0.3">
      <c r="A56">
        <v>9872.2641964760478</v>
      </c>
      <c r="B56">
        <v>-1.1153555288311898E-2</v>
      </c>
      <c r="C56">
        <v>9872.2641964760478</v>
      </c>
      <c r="D56">
        <v>-6.4321228602697601E-3</v>
      </c>
      <c r="G56" s="50">
        <v>9872.2641964760478</v>
      </c>
      <c r="H56">
        <v>-8.3612252321971208E-3</v>
      </c>
      <c r="I56" s="50">
        <v>9872.2641964760478</v>
      </c>
      <c r="J56">
        <v>-7.2356763317881091E-3</v>
      </c>
      <c r="L56">
        <v>9872.2641964760478</v>
      </c>
      <c r="M56">
        <f t="shared" si="0"/>
        <v>0.99925974861062905</v>
      </c>
      <c r="N56">
        <f t="shared" si="1"/>
        <v>0.99916730885688054</v>
      </c>
      <c r="O56">
        <f t="shared" si="2"/>
        <v>1.0000925167916614</v>
      </c>
      <c r="P56">
        <f t="shared" si="3"/>
        <v>8.0355347151834892E-4</v>
      </c>
      <c r="S56">
        <v>9872.2641964760478</v>
      </c>
      <c r="T56">
        <v>0</v>
      </c>
      <c r="U56">
        <v>9872.2641964760478</v>
      </c>
      <c r="V56">
        <v>-0.253720822494586</v>
      </c>
    </row>
    <row r="57" spans="1:22" x14ac:dyDescent="0.3">
      <c r="A57">
        <v>9736.5420802447807</v>
      </c>
      <c r="B57">
        <v>-1.1108597790678401E-2</v>
      </c>
      <c r="C57">
        <v>9736.5420802447807</v>
      </c>
      <c r="D57">
        <v>-6.490263303208987E-3</v>
      </c>
      <c r="G57" s="50">
        <v>9736.5420802447807</v>
      </c>
      <c r="H57">
        <v>-8.4548529415809145E-3</v>
      </c>
      <c r="I57" s="50">
        <v>9736.5420802447807</v>
      </c>
      <c r="J57">
        <v>-7.2329497437220404E-3</v>
      </c>
      <c r="L57">
        <v>9736.5420802447807</v>
      </c>
      <c r="M57">
        <f t="shared" si="0"/>
        <v>0.99925305992214974</v>
      </c>
      <c r="N57">
        <f t="shared" si="1"/>
        <v>0.99916762250559144</v>
      </c>
      <c r="O57">
        <f t="shared" si="2"/>
        <v>1.0000855085919858</v>
      </c>
      <c r="P57">
        <f t="shared" si="3"/>
        <v>7.4268644051305333E-4</v>
      </c>
      <c r="S57">
        <v>9736.5420802447807</v>
      </c>
      <c r="T57">
        <v>0</v>
      </c>
      <c r="U57">
        <v>9736.5420802447807</v>
      </c>
      <c r="V57">
        <v>-0.25073929992458899</v>
      </c>
    </row>
    <row r="58" spans="1:22" x14ac:dyDescent="0.3">
      <c r="A58">
        <v>9602.6858473071206</v>
      </c>
      <c r="B58">
        <v>-1.1084084738027402E-2</v>
      </c>
      <c r="C58">
        <v>9602.6858473071206</v>
      </c>
      <c r="D58">
        <v>-6.5617256754829508E-3</v>
      </c>
      <c r="G58" s="50">
        <v>9602.6858473071206</v>
      </c>
      <c r="H58">
        <v>-8.5215503828564888E-3</v>
      </c>
      <c r="I58" s="50">
        <v>9602.6858473071206</v>
      </c>
      <c r="J58">
        <v>-7.1991907115241602E-3</v>
      </c>
      <c r="L58">
        <v>9602.6858473071206</v>
      </c>
      <c r="M58">
        <f t="shared" si="0"/>
        <v>0.99924483869169634</v>
      </c>
      <c r="N58">
        <f t="shared" si="1"/>
        <v>0.99917150593019111</v>
      </c>
      <c r="O58">
        <f t="shared" si="2"/>
        <v>1.0000733935676407</v>
      </c>
      <c r="P58">
        <f t="shared" si="3"/>
        <v>6.3746503604120933E-4</v>
      </c>
      <c r="S58">
        <v>9602.6858473071206</v>
      </c>
      <c r="T58">
        <v>0</v>
      </c>
      <c r="U58">
        <v>9602.6858473071206</v>
      </c>
      <c r="V58">
        <v>-0.24678414785643091</v>
      </c>
    </row>
    <row r="59" spans="1:22" x14ac:dyDescent="0.3">
      <c r="A59">
        <v>9470.6698458344399</v>
      </c>
      <c r="B59">
        <v>-1.1097863907642501E-2</v>
      </c>
      <c r="C59">
        <v>9470.6698458344399</v>
      </c>
      <c r="D59">
        <v>-6.7022531854357588E-3</v>
      </c>
      <c r="G59" s="50">
        <v>9470.6698458344399</v>
      </c>
      <c r="H59">
        <v>-8.6234405823569608E-3</v>
      </c>
      <c r="I59" s="50">
        <v>9470.6698458344399</v>
      </c>
      <c r="J59">
        <v>-7.1881660882639302E-3</v>
      </c>
      <c r="L59">
        <v>9470.6698458344399</v>
      </c>
      <c r="M59">
        <f t="shared" si="0"/>
        <v>0.9992286722126198</v>
      </c>
      <c r="N59">
        <f t="shared" si="1"/>
        <v>0.99917277413608296</v>
      </c>
      <c r="O59">
        <f t="shared" si="2"/>
        <v>1.0000559443551544</v>
      </c>
      <c r="P59">
        <f t="shared" si="3"/>
        <v>4.859129028281714E-4</v>
      </c>
      <c r="S59">
        <v>9470.6698458344399</v>
      </c>
      <c r="T59">
        <v>0</v>
      </c>
      <c r="U59">
        <v>9470.6698458344399</v>
      </c>
      <c r="V59">
        <v>-0.24316708599116094</v>
      </c>
    </row>
    <row r="60" spans="1:22" x14ac:dyDescent="0.3">
      <c r="A60">
        <v>9340.4687766548795</v>
      </c>
      <c r="B60">
        <v>-1.10207076990037E-2</v>
      </c>
      <c r="C60">
        <v>9340.4687766548795</v>
      </c>
      <c r="D60">
        <v>-6.7358260906214707E-3</v>
      </c>
      <c r="G60" s="50">
        <v>9340.4687766548795</v>
      </c>
      <c r="H60">
        <v>-8.6837244340489689E-3</v>
      </c>
      <c r="I60" s="50">
        <v>9340.4687766548795</v>
      </c>
      <c r="J60">
        <v>-7.1600170496422698E-3</v>
      </c>
      <c r="L60">
        <v>9340.4687766548795</v>
      </c>
      <c r="M60">
        <f t="shared" si="0"/>
        <v>0.99922480997788787</v>
      </c>
      <c r="N60">
        <f t="shared" si="1"/>
        <v>0.99917601223831043</v>
      </c>
      <c r="O60">
        <f t="shared" si="2"/>
        <v>1.0000488379814765</v>
      </c>
      <c r="P60">
        <f t="shared" si="3"/>
        <v>4.2419095902079904E-4</v>
      </c>
      <c r="S60">
        <v>9340.4687766548795</v>
      </c>
      <c r="T60">
        <v>0</v>
      </c>
      <c r="U60">
        <v>9340.4687766548795</v>
      </c>
      <c r="V60">
        <v>-0.239797721555703</v>
      </c>
    </row>
    <row r="61" spans="1:22" x14ac:dyDescent="0.3">
      <c r="A61">
        <v>9212.0576884050079</v>
      </c>
      <c r="B61">
        <v>-1.0990046198754801E-2</v>
      </c>
      <c r="C61">
        <v>9212.0576884050079</v>
      </c>
      <c r="D61">
        <v>-6.7718633711270609E-3</v>
      </c>
      <c r="G61" s="50">
        <v>9212.0576884050079</v>
      </c>
      <c r="H61">
        <v>-8.7583574255290213E-3</v>
      </c>
      <c r="I61" s="50">
        <v>9212.0576884050079</v>
      </c>
      <c r="J61">
        <v>-7.1302591811424785E-3</v>
      </c>
      <c r="L61">
        <v>9212.0576884050079</v>
      </c>
      <c r="M61">
        <f t="shared" si="0"/>
        <v>0.99922066425746492</v>
      </c>
      <c r="N61">
        <f t="shared" si="1"/>
        <v>0.9991794354224115</v>
      </c>
      <c r="O61">
        <f t="shared" si="2"/>
        <v>1.0000412626937583</v>
      </c>
      <c r="P61">
        <f t="shared" si="3"/>
        <v>3.5839581001541766E-4</v>
      </c>
      <c r="S61">
        <v>9212.0576884050079</v>
      </c>
      <c r="T61">
        <v>0</v>
      </c>
      <c r="U61">
        <v>9212.0576884050079</v>
      </c>
      <c r="V61">
        <v>-0.23671376365854296</v>
      </c>
    </row>
    <row r="62" spans="1:22" x14ac:dyDescent="0.3">
      <c r="A62">
        <v>9085.4119727482885</v>
      </c>
      <c r="B62">
        <v>-1.0961150024826701E-2</v>
      </c>
      <c r="C62">
        <v>9085.4119727482885</v>
      </c>
      <c r="D62">
        <v>-6.8415062145083406E-3</v>
      </c>
      <c r="G62" s="50">
        <v>9085.4119727482885</v>
      </c>
      <c r="H62">
        <v>-8.7884210390057407E-3</v>
      </c>
      <c r="I62" s="50">
        <v>9085.4119727482885</v>
      </c>
      <c r="J62">
        <v>-7.1150372711258304E-3</v>
      </c>
      <c r="L62">
        <v>9085.4119727482885</v>
      </c>
      <c r="M62">
        <f t="shared" si="0"/>
        <v>0.99921265260959147</v>
      </c>
      <c r="N62">
        <f t="shared" si="1"/>
        <v>0.99918118647307164</v>
      </c>
      <c r="O62">
        <f t="shared" si="2"/>
        <v>1.0000314919225319</v>
      </c>
      <c r="P62">
        <f t="shared" si="3"/>
        <v>2.7353105661748981E-4</v>
      </c>
      <c r="S62">
        <v>9085.4119727482885</v>
      </c>
      <c r="T62">
        <v>0</v>
      </c>
      <c r="U62">
        <v>9085.4119727482885</v>
      </c>
      <c r="V62">
        <v>-0.23345347636433197</v>
      </c>
    </row>
    <row r="63" spans="1:22" x14ac:dyDescent="0.3">
      <c r="A63">
        <v>8960.5073596591792</v>
      </c>
      <c r="B63">
        <v>-1.09165724107289E-2</v>
      </c>
      <c r="C63">
        <v>8960.5073596591792</v>
      </c>
      <c r="D63">
        <v>-6.8960909957731086E-3</v>
      </c>
      <c r="G63" s="50">
        <v>8960.5073596591792</v>
      </c>
      <c r="H63">
        <v>-8.8508441534776439E-3</v>
      </c>
      <c r="I63" s="50">
        <v>8960.5073596591792</v>
      </c>
      <c r="J63">
        <v>-7.0729074004640905E-3</v>
      </c>
      <c r="L63">
        <v>8960.5073596591792</v>
      </c>
      <c r="M63">
        <f t="shared" si="0"/>
        <v>0.99920637327207107</v>
      </c>
      <c r="N63">
        <f t="shared" si="1"/>
        <v>0.99918603289387553</v>
      </c>
      <c r="O63">
        <f t="shared" si="2"/>
        <v>1.0000203569480817</v>
      </c>
      <c r="P63">
        <f t="shared" si="3"/>
        <v>1.7681640469098189E-4</v>
      </c>
      <c r="S63">
        <v>8960.5073596591792</v>
      </c>
      <c r="T63">
        <v>0</v>
      </c>
      <c r="U63">
        <v>8960.5073596591792</v>
      </c>
      <c r="V63">
        <v>-0.23028675983766797</v>
      </c>
    </row>
    <row r="64" spans="1:22" x14ac:dyDescent="0.3">
      <c r="A64">
        <v>8837.31991277208</v>
      </c>
      <c r="B64">
        <v>-1.08620201671386E-2</v>
      </c>
      <c r="C64">
        <v>8837.31991277208</v>
      </c>
      <c r="D64">
        <v>-6.9276834354968205E-3</v>
      </c>
      <c r="G64" s="50">
        <v>8837.31991277208</v>
      </c>
      <c r="H64">
        <v>-8.9003799524905603E-3</v>
      </c>
      <c r="I64" s="50">
        <v>8837.31991277208</v>
      </c>
      <c r="J64">
        <v>-7.0189638933664793E-3</v>
      </c>
      <c r="L64">
        <v>8837.31991277208</v>
      </c>
      <c r="M64">
        <f t="shared" si="0"/>
        <v>0.99920273895123302</v>
      </c>
      <c r="N64">
        <f t="shared" si="1"/>
        <v>0.99919223833378723</v>
      </c>
      <c r="O64">
        <f t="shared" si="2"/>
        <v>1.000010509106299</v>
      </c>
      <c r="P64">
        <f t="shared" si="3"/>
        <v>9.1280457869658861E-5</v>
      </c>
      <c r="S64">
        <v>8837.31991277208</v>
      </c>
      <c r="T64">
        <v>0</v>
      </c>
      <c r="U64">
        <v>8837.31991277208</v>
      </c>
      <c r="V64">
        <v>-0.226825119890918</v>
      </c>
    </row>
    <row r="65" spans="1:22" x14ac:dyDescent="0.3">
      <c r="A65">
        <v>8715.8260247942508</v>
      </c>
      <c r="B65">
        <v>-1.0807233414028001E-2</v>
      </c>
      <c r="C65">
        <v>8715.8260247942508</v>
      </c>
      <c r="D65">
        <v>-6.9708393589784003E-3</v>
      </c>
      <c r="G65" s="50">
        <v>8715.8260247942508</v>
      </c>
      <c r="H65">
        <v>-8.9588606857143524E-3</v>
      </c>
      <c r="I65" s="50">
        <v>8715.8260247942508</v>
      </c>
      <c r="J65">
        <v>-7.0018795195012197E-3</v>
      </c>
      <c r="L65">
        <v>8715.8260247942508</v>
      </c>
      <c r="M65">
        <f t="shared" si="0"/>
        <v>0.99919777441546087</v>
      </c>
      <c r="N65">
        <f t="shared" si="1"/>
        <v>0.99919420365815381</v>
      </c>
      <c r="O65">
        <f t="shared" si="2"/>
        <v>1.0000035736369306</v>
      </c>
      <c r="P65">
        <f t="shared" si="3"/>
        <v>3.1040160522819403E-5</v>
      </c>
      <c r="S65">
        <v>8715.8260247942508</v>
      </c>
      <c r="T65">
        <v>0</v>
      </c>
      <c r="U65">
        <v>8715.8260247942508</v>
      </c>
      <c r="V65">
        <v>-0.223711311648401</v>
      </c>
    </row>
    <row r="66" spans="1:22" x14ac:dyDescent="0.3">
      <c r="A66">
        <v>8596.0024129817793</v>
      </c>
      <c r="B66">
        <v>-1.0764342919415299E-2</v>
      </c>
      <c r="C66">
        <v>8596.0024129817793</v>
      </c>
      <c r="D66">
        <v>-6.999269507324859E-3</v>
      </c>
      <c r="G66" s="50">
        <v>8596.0024129817793</v>
      </c>
      <c r="H66">
        <v>-8.9839205488464902E-3</v>
      </c>
      <c r="I66" s="50">
        <v>8596.0024129817793</v>
      </c>
      <c r="J66">
        <v>-6.9282807715768408E-3</v>
      </c>
      <c r="L66">
        <v>8596.0024129817793</v>
      </c>
      <c r="M66">
        <f t="shared" si="0"/>
        <v>0.99919450390482278</v>
      </c>
      <c r="N66">
        <f t="shared" si="1"/>
        <v>0.99920267023520593</v>
      </c>
      <c r="O66">
        <f t="shared" si="2"/>
        <v>0.99999182715316282</v>
      </c>
      <c r="P66">
        <f t="shared" si="3"/>
        <v>-7.0988735748018193E-5</v>
      </c>
      <c r="S66">
        <v>8596.0024129817793</v>
      </c>
      <c r="T66">
        <v>0</v>
      </c>
      <c r="U66">
        <v>8596.0024129817793</v>
      </c>
      <c r="V66">
        <v>-0.22047323875295896</v>
      </c>
    </row>
    <row r="67" spans="1:22" x14ac:dyDescent="0.3">
      <c r="A67">
        <v>8477.8261146777495</v>
      </c>
      <c r="B67">
        <v>-1.07126467139061E-2</v>
      </c>
      <c r="C67">
        <v>8477.8261146777495</v>
      </c>
      <c r="D67">
        <v>-7.0492483472613101E-3</v>
      </c>
      <c r="G67" s="50">
        <v>8477.8261146777495</v>
      </c>
      <c r="H67">
        <v>-9.0455020405338597E-3</v>
      </c>
      <c r="I67" s="50">
        <v>8477.8261146777495</v>
      </c>
      <c r="J67">
        <v>-6.9108113005488204E-3</v>
      </c>
      <c r="L67">
        <v>8477.8261146777495</v>
      </c>
      <c r="M67">
        <f t="shared" si="0"/>
        <v>0.99918875452961953</v>
      </c>
      <c r="N67">
        <f t="shared" si="1"/>
        <v>0.99920467988077821</v>
      </c>
      <c r="O67">
        <f t="shared" si="2"/>
        <v>0.99998406197300782</v>
      </c>
      <c r="P67">
        <f t="shared" si="3"/>
        <v>-1.3843704671248971E-4</v>
      </c>
      <c r="S67">
        <v>8477.8261146777495</v>
      </c>
      <c r="T67">
        <v>0</v>
      </c>
      <c r="U67">
        <v>8477.8261146777495</v>
      </c>
      <c r="V67">
        <v>-0.21801911122656698</v>
      </c>
    </row>
    <row r="68" spans="1:22" x14ac:dyDescent="0.3">
      <c r="A68">
        <v>8361.2744829117</v>
      </c>
      <c r="B68">
        <v>-1.06936100296962E-2</v>
      </c>
      <c r="C68">
        <v>8361.2744829117</v>
      </c>
      <c r="D68">
        <v>-7.0659709933218106E-3</v>
      </c>
      <c r="G68" s="50">
        <v>8361.2744829117</v>
      </c>
      <c r="H68">
        <v>-9.0700193689020586E-3</v>
      </c>
      <c r="I68" s="50">
        <v>8361.2744829117</v>
      </c>
      <c r="J68">
        <v>-6.8747666436552715E-3</v>
      </c>
      <c r="L68">
        <v>8361.2744829117</v>
      </c>
      <c r="M68">
        <f t="shared" si="0"/>
        <v>0.99918683082755777</v>
      </c>
      <c r="N68">
        <f t="shared" si="1"/>
        <v>0.99920882638344888</v>
      </c>
      <c r="O68">
        <f t="shared" si="2"/>
        <v>0.99997798702802621</v>
      </c>
      <c r="P68">
        <f t="shared" si="3"/>
        <v>-1.9120434966653915E-4</v>
      </c>
      <c r="S68">
        <v>8361.2744829117</v>
      </c>
      <c r="T68">
        <v>0</v>
      </c>
      <c r="U68">
        <v>8361.2744829117</v>
      </c>
      <c r="V68">
        <v>-0.21469006074346503</v>
      </c>
    </row>
    <row r="69" spans="1:22" x14ac:dyDescent="0.3">
      <c r="A69">
        <v>8246.3251820596779</v>
      </c>
      <c r="B69">
        <v>-1.0658507641462901E-2</v>
      </c>
      <c r="C69">
        <v>8246.3251820596779</v>
      </c>
      <c r="D69">
        <v>-7.0930162124245612E-3</v>
      </c>
      <c r="G69" s="50">
        <v>8246.3251820596779</v>
      </c>
      <c r="H69">
        <v>-9.0972931222915998E-3</v>
      </c>
      <c r="I69" s="50">
        <v>8246.3251820596779</v>
      </c>
      <c r="J69">
        <v>-6.8324606972976895E-3</v>
      </c>
      <c r="L69">
        <v>8246.3251820596779</v>
      </c>
      <c r="M69">
        <f t="shared" ref="M69:M132" si="4">10^(D69/20)</f>
        <v>0.99918371966844566</v>
      </c>
      <c r="N69">
        <f t="shared" ref="N69:N132" si="5">10^(J69/20)</f>
        <v>0.99921369319384123</v>
      </c>
      <c r="O69">
        <f t="shared" ref="O69:O132" si="6">M69/N69</f>
        <v>0.99997000288767079</v>
      </c>
      <c r="P69">
        <f t="shared" ref="P69:P132" si="7">D69-J69</f>
        <v>-2.605555151268717E-4</v>
      </c>
      <c r="S69">
        <v>8246.3251820596779</v>
      </c>
      <c r="T69">
        <v>0</v>
      </c>
      <c r="U69">
        <v>8246.3251820596779</v>
      </c>
      <c r="V69">
        <v>-0.21169253698889201</v>
      </c>
    </row>
    <row r="70" spans="1:22" x14ac:dyDescent="0.3">
      <c r="A70">
        <v>8132.9561835638897</v>
      </c>
      <c r="B70">
        <v>-1.0601133241634E-2</v>
      </c>
      <c r="C70">
        <v>8132.9561835638897</v>
      </c>
      <c r="D70">
        <v>-7.1292746962645492E-3</v>
      </c>
      <c r="G70" s="50">
        <v>8132.9561835638897</v>
      </c>
      <c r="H70">
        <v>-9.1377124313679198E-3</v>
      </c>
      <c r="I70" s="50">
        <v>8132.9561835638897</v>
      </c>
      <c r="J70">
        <v>-6.7899161429110285E-3</v>
      </c>
      <c r="L70">
        <v>8132.9561835638897</v>
      </c>
      <c r="M70">
        <f t="shared" si="4"/>
        <v>0.99917954867242287</v>
      </c>
      <c r="N70">
        <f t="shared" si="5"/>
        <v>0.99921858747723624</v>
      </c>
      <c r="O70">
        <f t="shared" si="6"/>
        <v>0.99996093066591973</v>
      </c>
      <c r="P70">
        <f t="shared" si="7"/>
        <v>-3.3935855335352066E-4</v>
      </c>
      <c r="S70">
        <v>8132.9561835638897</v>
      </c>
      <c r="T70">
        <v>0</v>
      </c>
      <c r="U70">
        <v>8132.9561835638897</v>
      </c>
      <c r="V70">
        <v>-0.20864623188793999</v>
      </c>
    </row>
    <row r="71" spans="1:22" x14ac:dyDescent="0.3">
      <c r="A71">
        <v>8021.1457617111691</v>
      </c>
      <c r="B71">
        <v>-1.0557743716979699E-2</v>
      </c>
      <c r="C71">
        <v>8021.1457617111691</v>
      </c>
      <c r="D71">
        <v>-7.1623955472540201E-3</v>
      </c>
      <c r="G71" s="50">
        <v>8021.1457617111691</v>
      </c>
      <c r="H71">
        <v>-9.1881245001769751E-3</v>
      </c>
      <c r="I71" s="50">
        <v>8021.1457617111691</v>
      </c>
      <c r="J71">
        <v>-6.7592167381238964E-3</v>
      </c>
      <c r="L71">
        <v>8021.1457617111691</v>
      </c>
      <c r="M71">
        <f t="shared" si="4"/>
        <v>0.99917573862932685</v>
      </c>
      <c r="N71">
        <f t="shared" si="5"/>
        <v>0.99922211912124448</v>
      </c>
      <c r="O71">
        <f t="shared" si="6"/>
        <v>0.99995358340149798</v>
      </c>
      <c r="P71">
        <f t="shared" si="7"/>
        <v>-4.0317880913012371E-4</v>
      </c>
      <c r="S71">
        <v>8021.1457617111691</v>
      </c>
      <c r="T71">
        <v>0</v>
      </c>
      <c r="U71">
        <v>8021.1457617111691</v>
      </c>
      <c r="V71">
        <v>-0.20579060396181598</v>
      </c>
    </row>
    <row r="72" spans="1:22" x14ac:dyDescent="0.3">
      <c r="A72">
        <v>7910.8724894695779</v>
      </c>
      <c r="B72">
        <v>-1.05156754872111E-2</v>
      </c>
      <c r="C72">
        <v>7910.8724894695779</v>
      </c>
      <c r="D72">
        <v>-7.2015578226203294E-3</v>
      </c>
      <c r="G72" s="50">
        <v>7910.8724894695779</v>
      </c>
      <c r="H72">
        <v>-9.2132888646331203E-3</v>
      </c>
      <c r="I72" s="50">
        <v>7910.8724894695779</v>
      </c>
      <c r="J72">
        <v>-6.7449460319208591E-3</v>
      </c>
      <c r="L72">
        <v>7910.8724894695779</v>
      </c>
      <c r="M72">
        <f t="shared" si="4"/>
        <v>0.99917123363227611</v>
      </c>
      <c r="N72">
        <f t="shared" si="5"/>
        <v>0.99922376082032238</v>
      </c>
      <c r="O72">
        <f t="shared" si="6"/>
        <v>0.99994743200661762</v>
      </c>
      <c r="P72">
        <f t="shared" si="7"/>
        <v>-4.566117906994703E-4</v>
      </c>
      <c r="S72">
        <v>7910.8724894695779</v>
      </c>
      <c r="T72">
        <v>0</v>
      </c>
      <c r="U72">
        <v>7910.8724894695779</v>
      </c>
      <c r="V72">
        <v>-0.2031300570913</v>
      </c>
    </row>
    <row r="73" spans="1:22" x14ac:dyDescent="0.3">
      <c r="A73">
        <v>7802.1152343821595</v>
      </c>
      <c r="B73">
        <v>-1.04876140594037E-2</v>
      </c>
      <c r="C73">
        <v>7802.1152343821595</v>
      </c>
      <c r="D73">
        <v>-7.2455321405899111E-3</v>
      </c>
      <c r="G73" s="50">
        <v>7802.1152343821595</v>
      </c>
      <c r="H73">
        <v>-9.2367916305565283E-3</v>
      </c>
      <c r="I73" s="50">
        <v>7802.1152343821595</v>
      </c>
      <c r="J73">
        <v>-6.6967346579357486E-3</v>
      </c>
      <c r="L73">
        <v>7802.1152343821595</v>
      </c>
      <c r="M73">
        <f t="shared" si="4"/>
        <v>0.99916617511045047</v>
      </c>
      <c r="N73">
        <f t="shared" si="5"/>
        <v>0.99922930706672086</v>
      </c>
      <c r="O73">
        <f t="shared" si="6"/>
        <v>0.99993681935084977</v>
      </c>
      <c r="P73">
        <f t="shared" si="7"/>
        <v>-5.4879748265416247E-4</v>
      </c>
      <c r="S73">
        <v>7802.1152343821595</v>
      </c>
      <c r="T73">
        <v>0</v>
      </c>
      <c r="U73">
        <v>7802.1152343821595</v>
      </c>
      <c r="V73">
        <v>-0.20009309308079501</v>
      </c>
    </row>
    <row r="74" spans="1:22" x14ac:dyDescent="0.3">
      <c r="A74">
        <v>7694.8531545171818</v>
      </c>
      <c r="B74">
        <v>-1.0439860528695E-2</v>
      </c>
      <c r="C74">
        <v>7694.8531545171818</v>
      </c>
      <c r="D74">
        <v>-7.2471610618947708E-3</v>
      </c>
      <c r="G74" s="50">
        <v>7694.8531545171818</v>
      </c>
      <c r="H74">
        <v>-9.2613083421574909E-3</v>
      </c>
      <c r="I74" s="50">
        <v>7694.8531545171818</v>
      </c>
      <c r="J74">
        <v>-6.6412743313852707E-3</v>
      </c>
      <c r="L74">
        <v>7694.8531545171818</v>
      </c>
      <c r="M74">
        <f t="shared" si="4"/>
        <v>0.99916598773034482</v>
      </c>
      <c r="N74">
        <f t="shared" si="5"/>
        <v>0.99923568727219225</v>
      </c>
      <c r="O74">
        <f t="shared" si="6"/>
        <v>0.99993024714515777</v>
      </c>
      <c r="P74">
        <f t="shared" si="7"/>
        <v>-6.0588673050950004E-4</v>
      </c>
      <c r="S74">
        <v>7694.8531545171818</v>
      </c>
      <c r="T74">
        <v>0</v>
      </c>
      <c r="U74">
        <v>7694.8531545171818</v>
      </c>
      <c r="V74">
        <v>-0.19775994284418597</v>
      </c>
    </row>
    <row r="75" spans="1:22" x14ac:dyDescent="0.3">
      <c r="A75">
        <v>7589.0656944740404</v>
      </c>
      <c r="B75">
        <v>-1.03859600661104E-2</v>
      </c>
      <c r="C75">
        <v>7589.0656944740404</v>
      </c>
      <c r="D75">
        <v>-7.2641549713544692E-3</v>
      </c>
      <c r="G75" s="50">
        <v>7589.0656944740404</v>
      </c>
      <c r="H75">
        <v>-9.2825500061050892E-3</v>
      </c>
      <c r="I75" s="50">
        <v>7589.0656944740404</v>
      </c>
      <c r="J75">
        <v>-6.5752769828284199E-3</v>
      </c>
      <c r="L75">
        <v>7589.0656944740404</v>
      </c>
      <c r="M75">
        <f t="shared" si="4"/>
        <v>0.99916403286786937</v>
      </c>
      <c r="N75">
        <f t="shared" si="5"/>
        <v>0.99924327971916438</v>
      </c>
      <c r="O75">
        <f t="shared" si="6"/>
        <v>0.99992069313559229</v>
      </c>
      <c r="P75">
        <f t="shared" si="7"/>
        <v>-6.8887798852604928E-4</v>
      </c>
      <c r="S75">
        <v>7589.0656944740404</v>
      </c>
      <c r="T75">
        <v>0</v>
      </c>
      <c r="U75">
        <v>7589.0656944740404</v>
      </c>
      <c r="V75">
        <v>-0.19448488327691396</v>
      </c>
    </row>
    <row r="76" spans="1:22" x14ac:dyDescent="0.3">
      <c r="A76">
        <v>7484.7325814441201</v>
      </c>
      <c r="B76">
        <v>-1.0358716884940403E-2</v>
      </c>
      <c r="C76">
        <v>7484.7325814441201</v>
      </c>
      <c r="D76">
        <v>-7.276286559394358E-3</v>
      </c>
      <c r="G76" s="50">
        <v>7484.7325814441201</v>
      </c>
      <c r="H76">
        <v>-9.3253666877408103E-3</v>
      </c>
      <c r="I76" s="50">
        <v>7484.7325814441201</v>
      </c>
      <c r="J76">
        <v>-6.5687176368237898E-3</v>
      </c>
      <c r="L76">
        <v>7484.7325814441201</v>
      </c>
      <c r="M76">
        <f t="shared" si="4"/>
        <v>0.99916263733575095</v>
      </c>
      <c r="N76">
        <f t="shared" si="5"/>
        <v>0.9992440343206116</v>
      </c>
      <c r="O76">
        <f t="shared" si="6"/>
        <v>0.99991854143526016</v>
      </c>
      <c r="P76">
        <f t="shared" si="7"/>
        <v>-7.0756892257056812E-4</v>
      </c>
      <c r="S76">
        <v>7484.7325814441201</v>
      </c>
      <c r="T76">
        <v>0</v>
      </c>
      <c r="U76">
        <v>7484.7325814441201</v>
      </c>
      <c r="V76">
        <v>-0.19235495759676291</v>
      </c>
    </row>
    <row r="77" spans="1:22" x14ac:dyDescent="0.3">
      <c r="A77">
        <v>7381.8338213257202</v>
      </c>
      <c r="B77">
        <v>-1.0314783912589201E-2</v>
      </c>
      <c r="C77">
        <v>7381.8338213257202</v>
      </c>
      <c r="D77">
        <v>-7.316570755203298E-3</v>
      </c>
      <c r="G77" s="50">
        <v>7381.8338213257202</v>
      </c>
      <c r="H77">
        <v>-9.3528971506488656E-3</v>
      </c>
      <c r="I77" s="50">
        <v>7381.8338213257202</v>
      </c>
      <c r="J77">
        <v>-6.5367942541877883E-3</v>
      </c>
      <c r="L77">
        <v>7381.8338213257202</v>
      </c>
      <c r="M77">
        <f t="shared" si="4"/>
        <v>0.99915800334065474</v>
      </c>
      <c r="N77">
        <f t="shared" si="5"/>
        <v>0.99924770686419695</v>
      </c>
      <c r="O77">
        <f t="shared" si="6"/>
        <v>0.9999102289423073</v>
      </c>
      <c r="P77">
        <f t="shared" si="7"/>
        <v>-7.7977650101550972E-4</v>
      </c>
      <c r="S77">
        <v>7381.8338213257202</v>
      </c>
      <c r="T77">
        <v>0</v>
      </c>
      <c r="U77">
        <v>7381.8338213257202</v>
      </c>
      <c r="V77">
        <v>-0.18947432987215504</v>
      </c>
    </row>
    <row r="78" spans="1:22" x14ac:dyDescent="0.3">
      <c r="A78">
        <v>7280.3496948924403</v>
      </c>
      <c r="B78">
        <v>-1.0287423811116202E-2</v>
      </c>
      <c r="C78">
        <v>7280.3496948924403</v>
      </c>
      <c r="D78">
        <v>-7.3399836855597795E-3</v>
      </c>
      <c r="G78" s="50">
        <v>7280.3496948924403</v>
      </c>
      <c r="H78">
        <v>-9.3733459806779589E-3</v>
      </c>
      <c r="I78" s="50">
        <v>7280.3496948924403</v>
      </c>
      <c r="J78">
        <v>-6.4915219301322092E-3</v>
      </c>
      <c r="L78">
        <v>7280.3496948924403</v>
      </c>
      <c r="M78">
        <f t="shared" si="4"/>
        <v>0.99915531010067671</v>
      </c>
      <c r="N78">
        <f t="shared" si="5"/>
        <v>0.99925291512561609</v>
      </c>
      <c r="O78">
        <f t="shared" si="6"/>
        <v>0.99990232200130524</v>
      </c>
      <c r="P78">
        <f t="shared" si="7"/>
        <v>-8.4846175542757033E-4</v>
      </c>
      <c r="S78">
        <v>7280.3496948924403</v>
      </c>
      <c r="T78">
        <v>0</v>
      </c>
      <c r="U78">
        <v>7280.3496948924403</v>
      </c>
      <c r="V78">
        <v>-0.18696984330517799</v>
      </c>
    </row>
    <row r="79" spans="1:22" x14ac:dyDescent="0.3">
      <c r="A79">
        <v>7180.2607540142999</v>
      </c>
      <c r="B79">
        <v>-1.0263879804799102E-2</v>
      </c>
      <c r="C79">
        <v>7180.2607540142999</v>
      </c>
      <c r="D79">
        <v>-7.3700905916950213E-3</v>
      </c>
      <c r="G79" s="50">
        <v>7180.2607540142999</v>
      </c>
      <c r="H79">
        <v>-9.396815239447822E-3</v>
      </c>
      <c r="I79" s="50">
        <v>7180.2607540142999</v>
      </c>
      <c r="J79">
        <v>-6.4516444216985002E-3</v>
      </c>
      <c r="L79">
        <v>7180.2607540142999</v>
      </c>
      <c r="M79">
        <f t="shared" si="4"/>
        <v>0.9991518468488676</v>
      </c>
      <c r="N79">
        <f t="shared" si="5"/>
        <v>0.99925750277405301</v>
      </c>
      <c r="O79">
        <f t="shared" si="6"/>
        <v>0.99989426556729166</v>
      </c>
      <c r="P79">
        <f t="shared" si="7"/>
        <v>-9.1844616999652105E-4</v>
      </c>
      <c r="S79">
        <v>7180.2607540142999</v>
      </c>
      <c r="T79">
        <v>0</v>
      </c>
      <c r="U79">
        <v>7180.2607540142999</v>
      </c>
      <c r="V79">
        <v>-0.18379515758942896</v>
      </c>
    </row>
    <row r="80" spans="1:22" x14ac:dyDescent="0.3">
      <c r="A80">
        <v>7081.5478179306892</v>
      </c>
      <c r="B80">
        <v>-1.0209692754295598E-2</v>
      </c>
      <c r="C80">
        <v>7081.5478179306892</v>
      </c>
      <c r="D80">
        <v>-7.3846945349188209E-3</v>
      </c>
      <c r="G80" s="50">
        <v>7081.5478179306892</v>
      </c>
      <c r="H80">
        <v>-9.4282126918058401E-3</v>
      </c>
      <c r="I80" s="50">
        <v>7081.5478179306892</v>
      </c>
      <c r="J80">
        <v>-6.433046183829649E-3</v>
      </c>
      <c r="L80">
        <v>7081.5478179306892</v>
      </c>
      <c r="M80">
        <f t="shared" si="4"/>
        <v>0.99915016693521641</v>
      </c>
      <c r="N80">
        <f t="shared" si="5"/>
        <v>0.99925964238777143</v>
      </c>
      <c r="O80">
        <f t="shared" si="6"/>
        <v>0.9998904434364092</v>
      </c>
      <c r="P80">
        <f t="shared" si="7"/>
        <v>-9.5164835108917187E-4</v>
      </c>
      <c r="S80">
        <v>7081.5478179306892</v>
      </c>
      <c r="T80">
        <v>0</v>
      </c>
      <c r="U80">
        <v>7081.5478179306892</v>
      </c>
      <c r="V80">
        <v>-0.18197935537420998</v>
      </c>
    </row>
    <row r="81" spans="1:22" x14ac:dyDescent="0.3">
      <c r="A81">
        <v>6984.1919695746892</v>
      </c>
      <c r="B81">
        <v>-1.0189907424136301E-2</v>
      </c>
      <c r="C81">
        <v>6984.1919695746892</v>
      </c>
      <c r="D81">
        <v>-7.4193779819196701E-3</v>
      </c>
      <c r="G81" s="50">
        <v>6984.1919695746892</v>
      </c>
      <c r="H81">
        <v>-9.4453199864563183E-3</v>
      </c>
      <c r="I81" s="50">
        <v>6984.1919695746892</v>
      </c>
      <c r="J81">
        <v>-6.4145725701315699E-3</v>
      </c>
      <c r="L81">
        <v>6984.1919695746892</v>
      </c>
      <c r="M81">
        <f t="shared" si="4"/>
        <v>0.99914617725723076</v>
      </c>
      <c r="N81">
        <f t="shared" si="5"/>
        <v>0.99926176766877506</v>
      </c>
      <c r="O81">
        <f t="shared" si="6"/>
        <v>0.99988432419283491</v>
      </c>
      <c r="P81">
        <f t="shared" si="7"/>
        <v>-1.0048054117881003E-3</v>
      </c>
      <c r="S81">
        <v>6984.1919695746892</v>
      </c>
      <c r="T81">
        <v>0</v>
      </c>
      <c r="U81">
        <v>6984.1919695746892</v>
      </c>
      <c r="V81">
        <v>-0.17910800011407002</v>
      </c>
    </row>
    <row r="82" spans="1:22" x14ac:dyDescent="0.3">
      <c r="A82">
        <v>6888.17455194779</v>
      </c>
      <c r="B82">
        <v>-1.0163461173032099E-2</v>
      </c>
      <c r="C82">
        <v>6888.17455194779</v>
      </c>
      <c r="D82">
        <v>-7.4491187745112297E-3</v>
      </c>
      <c r="G82" s="50">
        <v>6888.17455194779</v>
      </c>
      <c r="H82">
        <v>-9.4765382382282892E-3</v>
      </c>
      <c r="I82" s="50">
        <v>6888.17455194779</v>
      </c>
      <c r="J82">
        <v>-6.4002961916976801E-3</v>
      </c>
      <c r="L82">
        <v>6888.17455194779</v>
      </c>
      <c r="M82">
        <f t="shared" si="4"/>
        <v>0.9991427561513232</v>
      </c>
      <c r="N82">
        <f t="shared" si="5"/>
        <v>0.99926341008555308</v>
      </c>
      <c r="O82">
        <f t="shared" si="6"/>
        <v>0.99987925712778825</v>
      </c>
      <c r="P82">
        <f t="shared" si="7"/>
        <v>-1.0488225828135496E-3</v>
      </c>
      <c r="S82">
        <v>6888.17455194779</v>
      </c>
      <c r="T82">
        <v>0</v>
      </c>
      <c r="U82">
        <v>6888.17455194779</v>
      </c>
      <c r="V82">
        <v>-0.176775821186993</v>
      </c>
    </row>
    <row r="83" spans="1:22" x14ac:dyDescent="0.3">
      <c r="A83">
        <v>6793.4771645445608</v>
      </c>
      <c r="B83">
        <v>-1.01336434305319E-2</v>
      </c>
      <c r="C83">
        <v>6793.4771645445608</v>
      </c>
      <c r="D83">
        <v>-7.4674579150183712E-3</v>
      </c>
      <c r="G83" s="50">
        <v>6793.4771645445608</v>
      </c>
      <c r="H83">
        <v>-9.5162180009518028E-3</v>
      </c>
      <c r="I83" s="50">
        <v>6793.4771645445608</v>
      </c>
      <c r="J83">
        <v>-6.3732122751942498E-3</v>
      </c>
      <c r="L83">
        <v>6793.4771645445608</v>
      </c>
      <c r="M83">
        <f t="shared" si="4"/>
        <v>0.99914064659193325</v>
      </c>
      <c r="N83">
        <f t="shared" si="5"/>
        <v>0.99926652594473242</v>
      </c>
      <c r="O83">
        <f t="shared" si="6"/>
        <v>0.99987402825019067</v>
      </c>
      <c r="P83">
        <f t="shared" si="7"/>
        <v>-1.0942456398241214E-3</v>
      </c>
      <c r="S83">
        <v>6793.4771645445608</v>
      </c>
      <c r="T83">
        <v>0</v>
      </c>
      <c r="U83">
        <v>6793.4771645445608</v>
      </c>
      <c r="V83">
        <v>-0.17406616129437699</v>
      </c>
    </row>
    <row r="84" spans="1:22" x14ac:dyDescent="0.3">
      <c r="A84">
        <v>6700.0816598264091</v>
      </c>
      <c r="B84">
        <v>-1.0095500600821497E-2</v>
      </c>
      <c r="C84">
        <v>6700.0816598264091</v>
      </c>
      <c r="D84">
        <v>-7.4997468707218582E-3</v>
      </c>
      <c r="G84" s="50">
        <v>6700.0816598264091</v>
      </c>
      <c r="H84">
        <v>-9.5403642110959298E-3</v>
      </c>
      <c r="I84" s="50">
        <v>6700.0816598264091</v>
      </c>
      <c r="J84">
        <v>-6.3419605405931403E-3</v>
      </c>
      <c r="L84">
        <v>6700.0816598264091</v>
      </c>
      <c r="M84">
        <f t="shared" si="4"/>
        <v>0.99913693238999657</v>
      </c>
      <c r="N84">
        <f t="shared" si="5"/>
        <v>0.99927012130107984</v>
      </c>
      <c r="O84">
        <f t="shared" si="6"/>
        <v>0.99986671380616299</v>
      </c>
      <c r="P84">
        <f t="shared" si="7"/>
        <v>-1.1577863301287178E-3</v>
      </c>
      <c r="S84">
        <v>6700.0816598264091</v>
      </c>
      <c r="T84">
        <v>0</v>
      </c>
      <c r="U84">
        <v>6700.0816598264091</v>
      </c>
      <c r="V84">
        <v>-0.171774240992079</v>
      </c>
    </row>
    <row r="85" spans="1:22" x14ac:dyDescent="0.3">
      <c r="A85">
        <v>6607.9701397438603</v>
      </c>
      <c r="B85">
        <v>-1.0070293147847799E-2</v>
      </c>
      <c r="C85">
        <v>6607.9701397438603</v>
      </c>
      <c r="D85">
        <v>-7.5108427304304793E-3</v>
      </c>
      <c r="G85" s="50">
        <v>6607.9701397438603</v>
      </c>
      <c r="H85">
        <v>-9.5666266447372392E-3</v>
      </c>
      <c r="I85" s="50">
        <v>6607.9701397438603</v>
      </c>
      <c r="J85">
        <v>-6.3208431973644005E-3</v>
      </c>
      <c r="L85">
        <v>6607.9701397438603</v>
      </c>
      <c r="M85">
        <f t="shared" si="4"/>
        <v>0.99913565603528642</v>
      </c>
      <c r="N85">
        <f t="shared" si="5"/>
        <v>0.99927255075352073</v>
      </c>
      <c r="O85">
        <f t="shared" si="6"/>
        <v>0.99986300562531105</v>
      </c>
      <c r="P85">
        <f t="shared" si="7"/>
        <v>-1.1899995330660789E-3</v>
      </c>
      <c r="S85">
        <v>6607.9701397438603</v>
      </c>
      <c r="T85">
        <v>0</v>
      </c>
      <c r="U85">
        <v>6607.9701397438603</v>
      </c>
      <c r="V85">
        <v>-0.16935231719082799</v>
      </c>
    </row>
    <row r="86" spans="1:22" x14ac:dyDescent="0.3">
      <c r="A86">
        <v>6517.1249523065899</v>
      </c>
      <c r="B86">
        <v>-1.0056407684333199E-2</v>
      </c>
      <c r="C86">
        <v>6517.1249523065899</v>
      </c>
      <c r="D86">
        <v>-7.5334711330564798E-3</v>
      </c>
      <c r="G86" s="50">
        <v>6517.1249523065899</v>
      </c>
      <c r="H86">
        <v>-9.592353648835001E-3</v>
      </c>
      <c r="I86" s="50">
        <v>6517.1249523065899</v>
      </c>
      <c r="J86">
        <v>-6.2785573463241895E-3</v>
      </c>
      <c r="L86">
        <v>6517.1249523065899</v>
      </c>
      <c r="M86">
        <f t="shared" si="4"/>
        <v>0.99913305309932987</v>
      </c>
      <c r="N86">
        <f t="shared" si="5"/>
        <v>0.9992774155624059</v>
      </c>
      <c r="O86">
        <f t="shared" si="6"/>
        <v>0.99985553314742459</v>
      </c>
      <c r="P86">
        <f t="shared" si="7"/>
        <v>-1.2549137867322903E-3</v>
      </c>
      <c r="S86">
        <v>6517.1249523065899</v>
      </c>
      <c r="T86">
        <v>0</v>
      </c>
      <c r="U86">
        <v>6517.1249523065899</v>
      </c>
      <c r="V86">
        <v>-0.16686677713289599</v>
      </c>
    </row>
    <row r="87" spans="1:22" x14ac:dyDescent="0.3">
      <c r="A87">
        <v>6427.5286882006903</v>
      </c>
      <c r="B87">
        <v>-1.0036771115895696E-2</v>
      </c>
      <c r="C87">
        <v>6427.5286882006903</v>
      </c>
      <c r="D87">
        <v>-7.5620153420676971E-3</v>
      </c>
      <c r="G87" s="50">
        <v>6427.5286882006903</v>
      </c>
      <c r="H87">
        <v>-9.6415505915599994E-3</v>
      </c>
      <c r="I87" s="50">
        <v>6427.5286882006903</v>
      </c>
      <c r="J87">
        <v>-6.2877534364060598E-3</v>
      </c>
      <c r="L87">
        <v>6427.5286882006903</v>
      </c>
      <c r="M87">
        <f t="shared" si="4"/>
        <v>0.9991297696802417</v>
      </c>
      <c r="N87">
        <f t="shared" si="5"/>
        <v>0.99927635758899724</v>
      </c>
      <c r="O87">
        <f t="shared" si="6"/>
        <v>0.99985330593719912</v>
      </c>
      <c r="P87">
        <f t="shared" si="7"/>
        <v>-1.2742619056616373E-3</v>
      </c>
      <c r="S87">
        <v>6427.5286882006903</v>
      </c>
      <c r="T87">
        <v>0</v>
      </c>
      <c r="U87">
        <v>6427.5286882006903</v>
      </c>
      <c r="V87">
        <v>-0.16438806287919802</v>
      </c>
    </row>
    <row r="88" spans="1:22" x14ac:dyDescent="0.3">
      <c r="A88">
        <v>6339.1641774523696</v>
      </c>
      <c r="B88">
        <v>-1.0014217349290202E-2</v>
      </c>
      <c r="C88">
        <v>6339.1641774523696</v>
      </c>
      <c r="D88">
        <v>-7.5893075301770004E-3</v>
      </c>
      <c r="G88" s="50">
        <v>6339.1641774523696</v>
      </c>
      <c r="H88">
        <v>-9.6615968803531842E-3</v>
      </c>
      <c r="I88" s="50">
        <v>6339.1641774523696</v>
      </c>
      <c r="J88">
        <v>-6.2565151820123E-3</v>
      </c>
      <c r="L88">
        <v>6339.1641774523696</v>
      </c>
      <c r="M88">
        <f t="shared" si="4"/>
        <v>0.99912663029027515</v>
      </c>
      <c r="N88">
        <f t="shared" si="5"/>
        <v>0.99927995142987047</v>
      </c>
      <c r="O88">
        <f t="shared" si="6"/>
        <v>0.99984656838218766</v>
      </c>
      <c r="P88">
        <f t="shared" si="7"/>
        <v>-1.3327923481647004E-3</v>
      </c>
      <c r="S88">
        <v>6339.1641774523696</v>
      </c>
      <c r="T88">
        <v>0</v>
      </c>
      <c r="U88">
        <v>6339.1641774523696</v>
      </c>
      <c r="V88">
        <v>-0.16241578562807002</v>
      </c>
    </row>
    <row r="89" spans="1:22" x14ac:dyDescent="0.3">
      <c r="A89">
        <v>6252.0144861375402</v>
      </c>
      <c r="B89">
        <v>-9.9975855701637095E-3</v>
      </c>
      <c r="C89">
        <v>6252.0144861375402</v>
      </c>
      <c r="D89">
        <v>-7.6121144820575802E-3</v>
      </c>
      <c r="G89" s="50">
        <v>6252.0144861375402</v>
      </c>
      <c r="H89">
        <v>-9.7027744527573481E-3</v>
      </c>
      <c r="I89" s="50">
        <v>6252.0144861375402</v>
      </c>
      <c r="J89">
        <v>-6.2574412262032097E-3</v>
      </c>
      <c r="L89">
        <v>6252.0144861375402</v>
      </c>
      <c r="M89">
        <f t="shared" si="4"/>
        <v>0.9991240068395969</v>
      </c>
      <c r="N89">
        <f t="shared" si="5"/>
        <v>0.99927984489186661</v>
      </c>
      <c r="O89">
        <f t="shared" si="6"/>
        <v>0.99984404963928142</v>
      </c>
      <c r="P89">
        <f t="shared" si="7"/>
        <v>-1.3546732558543705E-3</v>
      </c>
      <c r="S89">
        <v>6252.0144861375402</v>
      </c>
      <c r="T89">
        <v>0</v>
      </c>
      <c r="U89">
        <v>6252.0144861375402</v>
      </c>
      <c r="V89">
        <v>-0.159943697525364</v>
      </c>
    </row>
    <row r="90" spans="1:22" x14ac:dyDescent="0.3">
      <c r="A90">
        <v>6166.0629131366795</v>
      </c>
      <c r="B90">
        <v>-9.9694444325240609E-3</v>
      </c>
      <c r="C90">
        <v>6166.0629131366795</v>
      </c>
      <c r="D90">
        <v>-7.63331525742998E-3</v>
      </c>
      <c r="G90" s="50">
        <v>6166.0629131366795</v>
      </c>
      <c r="H90">
        <v>-9.7263449835765601E-3</v>
      </c>
      <c r="I90" s="50">
        <v>6166.0629131366795</v>
      </c>
      <c r="J90">
        <v>-6.239256622333828E-3</v>
      </c>
      <c r="L90">
        <v>6166.0629131366795</v>
      </c>
      <c r="M90">
        <f t="shared" si="4"/>
        <v>0.9991215681512563</v>
      </c>
      <c r="N90">
        <f t="shared" si="5"/>
        <v>0.99928193696624379</v>
      </c>
      <c r="O90">
        <f t="shared" si="6"/>
        <v>0.99983951594734677</v>
      </c>
      <c r="P90">
        <f t="shared" si="7"/>
        <v>-1.394058635096152E-3</v>
      </c>
      <c r="S90">
        <v>6166.0629131366795</v>
      </c>
      <c r="T90">
        <v>0</v>
      </c>
      <c r="U90">
        <v>6166.0629131366795</v>
      </c>
      <c r="V90">
        <v>-0.15811699644694999</v>
      </c>
    </row>
    <row r="91" spans="1:22" x14ac:dyDescent="0.3">
      <c r="A91">
        <v>6081.2929869342606</v>
      </c>
      <c r="B91">
        <v>-9.9613163664306476E-3</v>
      </c>
      <c r="C91">
        <v>6081.2929869342606</v>
      </c>
      <c r="D91">
        <v>-7.6571744832926404E-3</v>
      </c>
      <c r="G91" s="50">
        <v>6081.2929869342606</v>
      </c>
      <c r="H91">
        <v>-9.7401380273715206E-3</v>
      </c>
      <c r="I91" s="50">
        <v>6081.2929869342606</v>
      </c>
      <c r="J91">
        <v>-6.2220440981768004E-3</v>
      </c>
      <c r="L91">
        <v>6081.2929869342606</v>
      </c>
      <c r="M91">
        <f t="shared" si="4"/>
        <v>0.99911882367309557</v>
      </c>
      <c r="N91">
        <f t="shared" si="5"/>
        <v>0.99928391721032239</v>
      </c>
      <c r="O91">
        <f t="shared" si="6"/>
        <v>0.999834788157416</v>
      </c>
      <c r="P91">
        <f t="shared" si="7"/>
        <v>-1.43513038511584E-3</v>
      </c>
      <c r="S91">
        <v>6081.2929869342606</v>
      </c>
      <c r="T91">
        <v>0</v>
      </c>
      <c r="U91">
        <v>6081.2929869342606</v>
      </c>
      <c r="V91">
        <v>-0.15588220506799599</v>
      </c>
    </row>
    <row r="92" spans="1:22" x14ac:dyDescent="0.3">
      <c r="A92">
        <v>5997.6884624621798</v>
      </c>
      <c r="B92">
        <v>-9.9553745081413115E-3</v>
      </c>
      <c r="C92">
        <v>5997.6884624621798</v>
      </c>
      <c r="D92">
        <v>-7.6883982250715802E-3</v>
      </c>
      <c r="G92" s="50">
        <v>5997.6884624621798</v>
      </c>
      <c r="H92">
        <v>-9.802479733045058E-3</v>
      </c>
      <c r="I92" s="50">
        <v>5997.6884624621798</v>
      </c>
      <c r="J92">
        <v>-6.2211336191812803E-3</v>
      </c>
      <c r="L92">
        <v>5997.6884624621798</v>
      </c>
      <c r="M92">
        <f t="shared" si="4"/>
        <v>0.99911523208105546</v>
      </c>
      <c r="N92">
        <f t="shared" si="5"/>
        <v>0.99928402195803412</v>
      </c>
      <c r="O92">
        <f t="shared" si="6"/>
        <v>0.99983108918658792</v>
      </c>
      <c r="P92">
        <f t="shared" si="7"/>
        <v>-1.4672646058903E-3</v>
      </c>
      <c r="S92">
        <v>5997.6884624621798</v>
      </c>
      <c r="T92">
        <v>0</v>
      </c>
      <c r="U92">
        <v>5997.6884624621798</v>
      </c>
      <c r="V92">
        <v>-0.15362827588671699</v>
      </c>
    </row>
    <row r="93" spans="1:22" x14ac:dyDescent="0.3">
      <c r="A93">
        <v>5915.23331798663</v>
      </c>
      <c r="B93">
        <v>-9.9419510507097429E-3</v>
      </c>
      <c r="C93">
        <v>5915.23331798663</v>
      </c>
      <c r="D93">
        <v>-7.708514643460119E-3</v>
      </c>
      <c r="G93" s="50">
        <v>5915.23331798663</v>
      </c>
      <c r="H93">
        <v>-9.8167005499226606E-3</v>
      </c>
      <c r="I93" s="50">
        <v>5915.23331798663</v>
      </c>
      <c r="J93">
        <v>-6.1902358026916194E-3</v>
      </c>
      <c r="L93">
        <v>5915.23331798663</v>
      </c>
      <c r="M93">
        <f t="shared" si="4"/>
        <v>0.99911291814459191</v>
      </c>
      <c r="N93">
        <f t="shared" si="5"/>
        <v>0.99928757666003176</v>
      </c>
      <c r="O93">
        <f t="shared" si="6"/>
        <v>0.99982521696504667</v>
      </c>
      <c r="P93">
        <f t="shared" si="7"/>
        <v>-1.5182788407684996E-3</v>
      </c>
      <c r="S93">
        <v>5915.23331798663</v>
      </c>
      <c r="T93">
        <v>0</v>
      </c>
      <c r="U93">
        <v>5915.23331798663</v>
      </c>
      <c r="V93">
        <v>-0.15167910069823201</v>
      </c>
    </row>
    <row r="94" spans="1:22" x14ac:dyDescent="0.3">
      <c r="A94">
        <v>5833.9117520377104</v>
      </c>
      <c r="B94">
        <v>-9.9471376618902596E-3</v>
      </c>
      <c r="C94">
        <v>5833.9117520377104</v>
      </c>
      <c r="D94">
        <v>-7.7427819750849293E-3</v>
      </c>
      <c r="G94" s="50">
        <v>5833.9117520377104</v>
      </c>
      <c r="H94">
        <v>-9.8442119692758612E-3</v>
      </c>
      <c r="I94" s="50">
        <v>5833.9117520377104</v>
      </c>
      <c r="J94">
        <v>-6.19172518296769E-3</v>
      </c>
      <c r="L94">
        <v>5833.9117520377104</v>
      </c>
      <c r="M94">
        <f t="shared" si="4"/>
        <v>0.9991089764797092</v>
      </c>
      <c r="N94">
        <f t="shared" si="5"/>
        <v>0.9992874053109656</v>
      </c>
      <c r="O94">
        <f t="shared" si="6"/>
        <v>0.99982144393063688</v>
      </c>
      <c r="P94">
        <f t="shared" si="7"/>
        <v>-1.5510567921172393E-3</v>
      </c>
      <c r="S94">
        <v>5833.9117520377104</v>
      </c>
      <c r="T94">
        <v>0</v>
      </c>
      <c r="U94">
        <v>5833.9117520377104</v>
      </c>
      <c r="V94">
        <v>-0.14919745290785599</v>
      </c>
    </row>
    <row r="95" spans="1:22" x14ac:dyDescent="0.3">
      <c r="A95">
        <v>5753.7081803812998</v>
      </c>
      <c r="B95">
        <v>-9.9152570776571396E-3</v>
      </c>
      <c r="C95">
        <v>5753.7081803812998</v>
      </c>
      <c r="D95">
        <v>-7.7687928739396898E-3</v>
      </c>
      <c r="G95" s="50">
        <v>5753.7081803812998</v>
      </c>
      <c r="H95">
        <v>-9.8885140054433412E-3</v>
      </c>
      <c r="I95" s="50">
        <v>5753.7081803812998</v>
      </c>
      <c r="J95">
        <v>-6.1902151086270013E-3</v>
      </c>
      <c r="L95">
        <v>5753.7081803812998</v>
      </c>
      <c r="M95">
        <f t="shared" si="4"/>
        <v>0.99910598453706378</v>
      </c>
      <c r="N95">
        <f t="shared" si="5"/>
        <v>0.99928757904082677</v>
      </c>
      <c r="O95">
        <f t="shared" si="6"/>
        <v>0.99981827603227358</v>
      </c>
      <c r="P95">
        <f t="shared" si="7"/>
        <v>-1.5785777653126885E-3</v>
      </c>
      <c r="S95">
        <v>5753.7081803812998</v>
      </c>
      <c r="T95">
        <v>0</v>
      </c>
      <c r="U95">
        <v>5753.7081803812998</v>
      </c>
      <c r="V95">
        <v>-0.14726252006181501</v>
      </c>
    </row>
    <row r="96" spans="1:22" x14ac:dyDescent="0.3">
      <c r="A96">
        <v>5674.6072330325405</v>
      </c>
      <c r="B96">
        <v>-9.921796236931079E-3</v>
      </c>
      <c r="C96">
        <v>5674.6072330325405</v>
      </c>
      <c r="D96">
        <v>-7.8154052676095587E-3</v>
      </c>
      <c r="G96" s="50">
        <v>5674.6072330325405</v>
      </c>
      <c r="H96">
        <v>-9.9195997627166202E-3</v>
      </c>
      <c r="I96" s="50">
        <v>5674.6072330325405</v>
      </c>
      <c r="J96">
        <v>-6.1921844563171393E-3</v>
      </c>
      <c r="L96">
        <v>5674.6072330325405</v>
      </c>
      <c r="M96">
        <f t="shared" si="4"/>
        <v>0.99910062289899915</v>
      </c>
      <c r="N96">
        <f t="shared" si="5"/>
        <v>0.9992873524728475</v>
      </c>
      <c r="O96">
        <f t="shared" si="6"/>
        <v>0.99981313725888132</v>
      </c>
      <c r="P96">
        <f t="shared" si="7"/>
        <v>-1.6232208112924194E-3</v>
      </c>
      <c r="S96">
        <v>5674.6072330325405</v>
      </c>
      <c r="T96">
        <v>0</v>
      </c>
      <c r="U96">
        <v>5674.6072330325405</v>
      </c>
      <c r="V96">
        <v>-0.14501826198937798</v>
      </c>
    </row>
    <row r="97" spans="1:22" x14ac:dyDescent="0.3">
      <c r="A97">
        <v>5596.593751310349</v>
      </c>
      <c r="B97">
        <v>-9.9003043568379814E-3</v>
      </c>
      <c r="C97">
        <v>5596.593751310349</v>
      </c>
      <c r="D97">
        <v>-7.8490881586608299E-3</v>
      </c>
      <c r="G97" s="50">
        <v>5596.593751310349</v>
      </c>
      <c r="H97">
        <v>-9.9675859283855101E-3</v>
      </c>
      <c r="I97" s="50">
        <v>5596.593751310349</v>
      </c>
      <c r="J97">
        <v>-6.2308044696136097E-3</v>
      </c>
      <c r="L97">
        <v>5596.593751310349</v>
      </c>
      <c r="M97">
        <f t="shared" si="4"/>
        <v>0.99909674850805219</v>
      </c>
      <c r="N97">
        <f t="shared" si="5"/>
        <v>0.99928290935801978</v>
      </c>
      <c r="O97">
        <f t="shared" si="6"/>
        <v>0.99981370556003291</v>
      </c>
      <c r="P97">
        <f t="shared" si="7"/>
        <v>-1.6182836890472202E-3</v>
      </c>
      <c r="S97">
        <v>5596.593751310349</v>
      </c>
      <c r="T97">
        <v>0</v>
      </c>
      <c r="U97">
        <v>5596.593751310349</v>
      </c>
      <c r="V97">
        <v>-0.14372965395040199</v>
      </c>
    </row>
    <row r="98" spans="1:22" x14ac:dyDescent="0.3">
      <c r="A98">
        <v>5519.6527849324702</v>
      </c>
      <c r="B98">
        <v>-9.90336233484242E-3</v>
      </c>
      <c r="C98">
        <v>5519.6527849324702</v>
      </c>
      <c r="D98">
        <v>-7.8660729154754298E-3</v>
      </c>
      <c r="G98" s="50">
        <v>5519.6527849324702</v>
      </c>
      <c r="H98">
        <v>-9.9870951838767277E-3</v>
      </c>
      <c r="I98" s="50">
        <v>5519.6527849324702</v>
      </c>
      <c r="J98">
        <v>-6.2012388571924815E-3</v>
      </c>
      <c r="L98">
        <v>5519.6527849324702</v>
      </c>
      <c r="M98">
        <f t="shared" si="4"/>
        <v>0.99909479483382613</v>
      </c>
      <c r="N98">
        <f t="shared" si="5"/>
        <v>0.99928631078984909</v>
      </c>
      <c r="O98">
        <f t="shared" si="6"/>
        <v>0.99980834726348689</v>
      </c>
      <c r="P98">
        <f t="shared" si="7"/>
        <v>-1.6648340582829484E-3</v>
      </c>
      <c r="S98">
        <v>5519.6527849324702</v>
      </c>
      <c r="T98">
        <v>0</v>
      </c>
      <c r="U98">
        <v>5519.6527849324702</v>
      </c>
      <c r="V98">
        <v>-0.14146457092562098</v>
      </c>
    </row>
    <row r="99" spans="1:22" x14ac:dyDescent="0.3">
      <c r="A99">
        <v>5443.76958915047</v>
      </c>
      <c r="B99">
        <v>-9.8950614330053609E-3</v>
      </c>
      <c r="C99">
        <v>5443.76958915047</v>
      </c>
      <c r="D99">
        <v>-7.8887527396322554E-3</v>
      </c>
      <c r="G99" s="50">
        <v>5443.76958915047</v>
      </c>
      <c r="H99">
        <v>-1.00180972176954E-2</v>
      </c>
      <c r="I99" s="50">
        <v>5443.76958915047</v>
      </c>
      <c r="J99">
        <v>-6.1965660187595396E-3</v>
      </c>
      <c r="L99">
        <v>5443.76958915047</v>
      </c>
      <c r="M99">
        <f t="shared" si="4"/>
        <v>0.99909218608957262</v>
      </c>
      <c r="N99">
        <f t="shared" si="5"/>
        <v>0.99928684838644877</v>
      </c>
      <c r="O99">
        <f t="shared" si="6"/>
        <v>0.9998051987803197</v>
      </c>
      <c r="P99">
        <f t="shared" si="7"/>
        <v>-1.6921867208727157E-3</v>
      </c>
      <c r="S99">
        <v>5443.76958915047</v>
      </c>
      <c r="T99">
        <v>0</v>
      </c>
      <c r="U99">
        <v>5443.76958915047</v>
      </c>
      <c r="V99">
        <v>-0.139126422597315</v>
      </c>
    </row>
    <row r="100" spans="1:22" x14ac:dyDescent="0.3">
      <c r="A100">
        <v>5368.9296219240396</v>
      </c>
      <c r="B100">
        <v>-9.9351184160866093E-3</v>
      </c>
      <c r="C100">
        <v>5368.9296219240396</v>
      </c>
      <c r="D100">
        <v>-7.9336568900515783E-3</v>
      </c>
      <c r="G100" s="50">
        <v>5368.9296219240396</v>
      </c>
      <c r="H100">
        <v>-1.0058207831567299E-2</v>
      </c>
      <c r="I100" s="50">
        <v>5368.9296219240396</v>
      </c>
      <c r="J100">
        <v>-6.1872014167901404E-3</v>
      </c>
      <c r="L100">
        <v>5368.9296219240396</v>
      </c>
      <c r="M100">
        <f t="shared" si="4"/>
        <v>0.99908702101475477</v>
      </c>
      <c r="N100">
        <f t="shared" si="5"/>
        <v>0.99928792575779712</v>
      </c>
      <c r="O100">
        <f t="shared" si="6"/>
        <v>0.99979895209592373</v>
      </c>
      <c r="P100">
        <f t="shared" si="7"/>
        <v>-1.7464554732614379E-3</v>
      </c>
      <c r="S100">
        <v>5368.9296219240396</v>
      </c>
      <c r="T100">
        <v>0</v>
      </c>
      <c r="U100">
        <v>5368.9296219240396</v>
      </c>
      <c r="V100">
        <v>-0.13757482860103201</v>
      </c>
    </row>
    <row r="101" spans="1:22" x14ac:dyDescent="0.3">
      <c r="A101">
        <v>5295.1185411342403</v>
      </c>
      <c r="B101">
        <v>-9.921976537202528E-3</v>
      </c>
      <c r="C101">
        <v>5295.1185411342403</v>
      </c>
      <c r="D101">
        <v>-7.93005642858325E-3</v>
      </c>
      <c r="G101" s="50">
        <v>5295.1185411342403</v>
      </c>
      <c r="H101">
        <v>-1.00925299449102E-2</v>
      </c>
      <c r="I101" s="50">
        <v>5295.1185411342403</v>
      </c>
      <c r="J101">
        <v>-6.2158086105140696E-3</v>
      </c>
      <c r="L101">
        <v>5295.1185411342403</v>
      </c>
      <c r="M101">
        <f t="shared" si="4"/>
        <v>0.99908743515483922</v>
      </c>
      <c r="N101">
        <f t="shared" si="5"/>
        <v>0.99928463458356032</v>
      </c>
      <c r="O101">
        <f t="shared" si="6"/>
        <v>0.99980265940063884</v>
      </c>
      <c r="P101">
        <f t="shared" si="7"/>
        <v>-1.7142478180691804E-3</v>
      </c>
      <c r="S101">
        <v>5295.1185411342403</v>
      </c>
      <c r="T101">
        <v>0</v>
      </c>
      <c r="U101">
        <v>5295.1185411342403</v>
      </c>
      <c r="V101">
        <v>-0.13565745045536901</v>
      </c>
    </row>
    <row r="102" spans="1:22" x14ac:dyDescent="0.3">
      <c r="A102">
        <v>5222.3222018350298</v>
      </c>
      <c r="B102">
        <v>-9.9234822789342498E-3</v>
      </c>
      <c r="C102">
        <v>5222.3222018350298</v>
      </c>
      <c r="D102">
        <v>-7.9790526123317811E-3</v>
      </c>
      <c r="G102" s="50">
        <v>5222.3222018350298</v>
      </c>
      <c r="H102">
        <v>-1.01159735990744E-2</v>
      </c>
      <c r="I102" s="50">
        <v>5222.3222018350298</v>
      </c>
      <c r="J102">
        <v>-6.2198402802601293E-3</v>
      </c>
      <c r="L102">
        <v>5222.3222018350298</v>
      </c>
      <c r="M102">
        <f t="shared" si="4"/>
        <v>0.99908179942430053</v>
      </c>
      <c r="N102">
        <f t="shared" si="5"/>
        <v>0.99928417075258125</v>
      </c>
      <c r="O102">
        <f t="shared" si="6"/>
        <v>0.99979748370463195</v>
      </c>
      <c r="P102">
        <f t="shared" si="7"/>
        <v>-1.7592123320716519E-3</v>
      </c>
      <c r="S102">
        <v>5222.3222018350298</v>
      </c>
      <c r="T102">
        <v>0</v>
      </c>
      <c r="U102">
        <v>5222.3222018350298</v>
      </c>
      <c r="V102">
        <v>-0.13359911317672898</v>
      </c>
    </row>
    <row r="103" spans="1:22" x14ac:dyDescent="0.3">
      <c r="A103">
        <v>5150.5266535425098</v>
      </c>
      <c r="B103">
        <v>-9.9312946894005612E-3</v>
      </c>
      <c r="C103">
        <v>5150.5266535425098</v>
      </c>
      <c r="D103">
        <v>-8.0163314833139807E-3</v>
      </c>
      <c r="G103" s="50">
        <v>5150.5266535425098</v>
      </c>
      <c r="H103">
        <v>-1.0149557220308301E-2</v>
      </c>
      <c r="I103" s="50">
        <v>5150.5266535425098</v>
      </c>
      <c r="J103">
        <v>-6.2268453943179489E-3</v>
      </c>
      <c r="L103">
        <v>5150.5266535425098</v>
      </c>
      <c r="M103">
        <f t="shared" si="4"/>
        <v>0.99907751148568635</v>
      </c>
      <c r="N103">
        <f t="shared" si="5"/>
        <v>0.99928336483665769</v>
      </c>
      <c r="O103">
        <f t="shared" si="6"/>
        <v>0.9997939990214838</v>
      </c>
      <c r="P103">
        <f t="shared" si="7"/>
        <v>-1.7894860889960318E-3</v>
      </c>
      <c r="S103">
        <v>5150.5266535425098</v>
      </c>
      <c r="T103">
        <v>0</v>
      </c>
      <c r="U103">
        <v>5150.5266535425098</v>
      </c>
      <c r="V103">
        <v>-0.13235227939623001</v>
      </c>
    </row>
    <row r="104" spans="1:22" x14ac:dyDescent="0.3">
      <c r="A104">
        <v>5079.7181375615501</v>
      </c>
      <c r="B104">
        <v>-9.9173819924069685E-3</v>
      </c>
      <c r="C104">
        <v>5079.7181375615501</v>
      </c>
      <c r="D104">
        <v>-8.0397437176520092E-3</v>
      </c>
      <c r="G104" s="50">
        <v>5079.7181375615501</v>
      </c>
      <c r="H104">
        <v>-1.01977996029459E-2</v>
      </c>
      <c r="I104" s="50">
        <v>5079.7181375615501</v>
      </c>
      <c r="J104">
        <v>-6.2381224835978202E-3</v>
      </c>
      <c r="L104">
        <v>5079.7181375615501</v>
      </c>
      <c r="M104">
        <f t="shared" si="4"/>
        <v>0.99907481854273283</v>
      </c>
      <c r="N104">
        <f t="shared" si="5"/>
        <v>0.99928206744504033</v>
      </c>
      <c r="O104">
        <f t="shared" si="6"/>
        <v>0.99979260220006005</v>
      </c>
      <c r="P104">
        <f t="shared" si="7"/>
        <v>-1.801621234054189E-3</v>
      </c>
      <c r="S104">
        <v>5079.7181375615501</v>
      </c>
      <c r="T104">
        <v>0</v>
      </c>
      <c r="U104">
        <v>5079.7181375615501</v>
      </c>
      <c r="V104">
        <v>-0.13015746996029501</v>
      </c>
    </row>
    <row r="105" spans="1:22" x14ac:dyDescent="0.3">
      <c r="A105">
        <v>5009.8830843491096</v>
      </c>
      <c r="B105">
        <v>-9.9091600031285133E-3</v>
      </c>
      <c r="C105">
        <v>5009.8830843491096</v>
      </c>
      <c r="D105">
        <v>-8.0777672354835298E-3</v>
      </c>
      <c r="G105" s="50">
        <v>5009.8830843491096</v>
      </c>
      <c r="H105">
        <v>-1.0221976303352401E-2</v>
      </c>
      <c r="I105" s="50">
        <v>5009.8830843491096</v>
      </c>
      <c r="J105">
        <v>-6.2136941356177996E-3</v>
      </c>
      <c r="L105">
        <v>5009.8830843491096</v>
      </c>
      <c r="M105">
        <f t="shared" si="4"/>
        <v>0.9990704449831308</v>
      </c>
      <c r="N105">
        <f t="shared" si="5"/>
        <v>0.99928487784736164</v>
      </c>
      <c r="O105">
        <f t="shared" si="6"/>
        <v>0.99978541368033835</v>
      </c>
      <c r="P105">
        <f t="shared" si="7"/>
        <v>-1.8640730998657302E-3</v>
      </c>
      <c r="S105">
        <v>5009.8830843491096</v>
      </c>
      <c r="T105">
        <v>0</v>
      </c>
      <c r="U105">
        <v>5009.8830843491096</v>
      </c>
      <c r="V105">
        <v>-0.12827807799226301</v>
      </c>
    </row>
    <row r="106" spans="1:22" x14ac:dyDescent="0.3">
      <c r="A106">
        <v>4941.00811091375</v>
      </c>
      <c r="B106">
        <v>-9.9385040555246221E-3</v>
      </c>
      <c r="C106">
        <v>4941.00811091375</v>
      </c>
      <c r="D106">
        <v>-8.1162371231028804E-3</v>
      </c>
      <c r="G106" s="50">
        <v>4941.00811091375</v>
      </c>
      <c r="H106">
        <v>-1.02578519413003E-2</v>
      </c>
      <c r="I106" s="50">
        <v>4941.00811091375</v>
      </c>
      <c r="J106">
        <v>-6.21981407330768E-3</v>
      </c>
      <c r="L106">
        <v>4941.00811091375</v>
      </c>
      <c r="M106">
        <f t="shared" si="4"/>
        <v>0.99906602010044965</v>
      </c>
      <c r="N106">
        <f t="shared" si="5"/>
        <v>0.99928417376760847</v>
      </c>
      <c r="O106">
        <f t="shared" si="6"/>
        <v>0.99978169006085993</v>
      </c>
      <c r="P106">
        <f t="shared" si="7"/>
        <v>-1.8964230497952005E-3</v>
      </c>
      <c r="S106">
        <v>4941.00811091375</v>
      </c>
      <c r="T106">
        <v>0</v>
      </c>
      <c r="U106">
        <v>4941.00811091375</v>
      </c>
      <c r="V106">
        <v>-0.12661053372852396</v>
      </c>
    </row>
    <row r="107" spans="1:22" x14ac:dyDescent="0.3">
      <c r="A107">
        <v>4873.0800182510302</v>
      </c>
      <c r="B107">
        <v>-9.9256217271082095E-3</v>
      </c>
      <c r="C107">
        <v>4873.0800182510302</v>
      </c>
      <c r="D107">
        <v>-8.1436536718396194E-3</v>
      </c>
      <c r="G107" s="50">
        <v>4873.0800182510302</v>
      </c>
      <c r="H107">
        <v>-1.0287788745508E-2</v>
      </c>
      <c r="I107" s="50">
        <v>4873.0800182510302</v>
      </c>
      <c r="J107">
        <v>-6.2429205322999497E-3</v>
      </c>
      <c r="L107">
        <v>4873.0800182510302</v>
      </c>
      <c r="M107">
        <f t="shared" si="4"/>
        <v>0.99906286660666321</v>
      </c>
      <c r="N107">
        <f t="shared" si="5"/>
        <v>0.99928151544600485</v>
      </c>
      <c r="O107">
        <f t="shared" si="6"/>
        <v>0.99978119395189247</v>
      </c>
      <c r="P107">
        <f t="shared" si="7"/>
        <v>-1.9007331395396697E-3</v>
      </c>
      <c r="S107">
        <v>4873.0800182510302</v>
      </c>
      <c r="T107">
        <v>0</v>
      </c>
      <c r="U107">
        <v>4873.0800182510302</v>
      </c>
      <c r="V107">
        <v>-0.12490670436801601</v>
      </c>
    </row>
    <row r="108" spans="1:22" x14ac:dyDescent="0.3">
      <c r="A108">
        <v>4806.085788814029</v>
      </c>
      <c r="B108">
        <v>-9.9489679824525702E-3</v>
      </c>
      <c r="C108">
        <v>4806.085788814029</v>
      </c>
      <c r="D108">
        <v>-8.1823525386910175E-3</v>
      </c>
      <c r="G108" s="50">
        <v>4806.085788814029</v>
      </c>
      <c r="H108">
        <v>-1.0300813914908599E-2</v>
      </c>
      <c r="I108" s="50">
        <v>4806.085788814029</v>
      </c>
      <c r="J108">
        <v>-6.25179310324074E-3</v>
      </c>
      <c r="L108">
        <v>4806.085788814029</v>
      </c>
      <c r="M108">
        <f t="shared" si="4"/>
        <v>0.99905841542016038</v>
      </c>
      <c r="N108">
        <f t="shared" si="5"/>
        <v>0.99928049468797353</v>
      </c>
      <c r="O108">
        <f t="shared" si="6"/>
        <v>0.99977776082992342</v>
      </c>
      <c r="P108">
        <f t="shared" si="7"/>
        <v>-1.9305594354502775E-3</v>
      </c>
      <c r="S108">
        <v>4806.085788814029</v>
      </c>
      <c r="T108">
        <v>0</v>
      </c>
      <c r="U108">
        <v>4806.085788814029</v>
      </c>
      <c r="V108">
        <v>-0.12341911369463801</v>
      </c>
    </row>
    <row r="109" spans="1:22" x14ac:dyDescent="0.3">
      <c r="A109">
        <v>4740.0125840187502</v>
      </c>
      <c r="B109">
        <v>-9.9321290043640816E-3</v>
      </c>
      <c r="C109">
        <v>4740.0125840187502</v>
      </c>
      <c r="D109">
        <v>-8.2087167163169984E-3</v>
      </c>
      <c r="G109" s="50">
        <v>4740.0125840187502</v>
      </c>
      <c r="H109">
        <v>-1.0346520319100201E-2</v>
      </c>
      <c r="I109" s="50">
        <v>4740.0125840187502</v>
      </c>
      <c r="J109">
        <v>-6.275226962943848E-3</v>
      </c>
      <c r="L109">
        <v>4740.0125840187502</v>
      </c>
      <c r="M109">
        <f t="shared" si="4"/>
        <v>0.99905538299462349</v>
      </c>
      <c r="N109">
        <f t="shared" si="5"/>
        <v>0.99927779870997879</v>
      </c>
      <c r="O109">
        <f t="shared" si="6"/>
        <v>0.99977742353963794</v>
      </c>
      <c r="P109">
        <f t="shared" si="7"/>
        <v>-1.9334897533731504E-3</v>
      </c>
      <c r="S109">
        <v>4740.0125840187502</v>
      </c>
      <c r="T109">
        <v>0</v>
      </c>
      <c r="U109">
        <v>4740.0125840187502</v>
      </c>
      <c r="V109">
        <v>-0.121052862134889</v>
      </c>
    </row>
    <row r="110" spans="1:22" x14ac:dyDescent="0.3">
      <c r="A110">
        <v>4674.8477417837194</v>
      </c>
      <c r="B110">
        <v>-9.9553703872266221E-3</v>
      </c>
      <c r="C110">
        <v>4674.8477417837194</v>
      </c>
      <c r="D110">
        <v>-8.2569194154652591E-3</v>
      </c>
      <c r="G110" s="50">
        <v>4674.8477417837194</v>
      </c>
      <c r="H110">
        <v>-1.0376781457428898E-2</v>
      </c>
      <c r="I110" s="50">
        <v>4674.8477417837194</v>
      </c>
      <c r="J110">
        <v>-6.2829858098291504E-3</v>
      </c>
      <c r="L110">
        <v>4674.8477417837194</v>
      </c>
      <c r="M110">
        <f t="shared" si="4"/>
        <v>0.99904983871137321</v>
      </c>
      <c r="N110">
        <f t="shared" si="5"/>
        <v>0.99927690608523956</v>
      </c>
      <c r="O110">
        <f t="shared" si="6"/>
        <v>0.99977276831628592</v>
      </c>
      <c r="P110">
        <f t="shared" si="7"/>
        <v>-1.9739336056361087E-3</v>
      </c>
      <c r="S110">
        <v>4674.8477417837194</v>
      </c>
      <c r="T110">
        <v>0</v>
      </c>
      <c r="U110">
        <v>4674.8477417837194</v>
      </c>
      <c r="V110">
        <v>-0.11937613671045699</v>
      </c>
    </row>
    <row r="111" spans="1:22" x14ac:dyDescent="0.3">
      <c r="A111">
        <v>4610.5787741035101</v>
      </c>
      <c r="B111">
        <v>-1.0000724889264899E-2</v>
      </c>
      <c r="C111">
        <v>4610.5787741035101</v>
      </c>
      <c r="D111">
        <v>-8.3167167062296477E-3</v>
      </c>
      <c r="G111" s="50">
        <v>4610.5787741035101</v>
      </c>
      <c r="H111">
        <v>-1.04127675901014E-2</v>
      </c>
      <c r="I111" s="50">
        <v>4610.5787741035101</v>
      </c>
      <c r="J111">
        <v>-6.2916278140534897E-3</v>
      </c>
      <c r="L111">
        <v>4610.5787741035101</v>
      </c>
      <c r="M111">
        <f t="shared" si="4"/>
        <v>0.99904296085883948</v>
      </c>
      <c r="N111">
        <f t="shared" si="5"/>
        <v>0.99927591185766973</v>
      </c>
      <c r="O111">
        <f t="shared" si="6"/>
        <v>0.9997668802018882</v>
      </c>
      <c r="P111">
        <f t="shared" si="7"/>
        <v>-2.025088892176158E-3</v>
      </c>
      <c r="S111">
        <v>4610.5787741035101</v>
      </c>
      <c r="T111">
        <v>0</v>
      </c>
      <c r="U111">
        <v>4610.5787741035101</v>
      </c>
      <c r="V111">
        <v>-0.11794453002522701</v>
      </c>
    </row>
    <row r="112" spans="1:22" x14ac:dyDescent="0.3">
      <c r="A112">
        <v>4547.1933646555199</v>
      </c>
      <c r="B112">
        <v>-9.9735793888784969E-3</v>
      </c>
      <c r="C112">
        <v>4547.1933646555199</v>
      </c>
      <c r="D112">
        <v>-8.3240248890925697E-3</v>
      </c>
      <c r="G112" s="50">
        <v>4547.1933646555199</v>
      </c>
      <c r="H112">
        <v>-1.0454897944912001E-2</v>
      </c>
      <c r="I112" s="50">
        <v>4547.1933646555199</v>
      </c>
      <c r="J112">
        <v>-6.3011273651983309E-3</v>
      </c>
      <c r="L112">
        <v>4547.1933646555199</v>
      </c>
      <c r="M112">
        <f t="shared" si="4"/>
        <v>0.99904212027878614</v>
      </c>
      <c r="N112">
        <f t="shared" si="5"/>
        <v>0.99927481897394244</v>
      </c>
      <c r="O112">
        <f t="shared" si="6"/>
        <v>0.99976713243370308</v>
      </c>
      <c r="P112">
        <f t="shared" si="7"/>
        <v>-2.0228975238942388E-3</v>
      </c>
      <c r="S112">
        <v>4547.1933646555199</v>
      </c>
      <c r="T112">
        <v>0</v>
      </c>
      <c r="U112">
        <v>4547.1933646555199</v>
      </c>
      <c r="V112">
        <v>-0.11638012748255699</v>
      </c>
    </row>
    <row r="113" spans="1:22" x14ac:dyDescent="0.3">
      <c r="A113">
        <v>4484.6793664397801</v>
      </c>
      <c r="B113">
        <v>-9.9906025120187827E-3</v>
      </c>
      <c r="C113">
        <v>4484.6793664397801</v>
      </c>
      <c r="D113">
        <v>-8.3404895253681097E-3</v>
      </c>
      <c r="G113" s="50">
        <v>4484.6793664397801</v>
      </c>
      <c r="H113">
        <v>-1.04881863565373E-2</v>
      </c>
      <c r="I113" s="50">
        <v>4484.6793664397801</v>
      </c>
      <c r="J113">
        <v>-6.3310064995348416E-3</v>
      </c>
      <c r="L113">
        <v>4484.6793664397801</v>
      </c>
      <c r="M113">
        <f t="shared" si="4"/>
        <v>0.99904022653499835</v>
      </c>
      <c r="N113">
        <f t="shared" si="5"/>
        <v>0.99927138151198469</v>
      </c>
      <c r="O113">
        <f t="shared" si="6"/>
        <v>0.99976867647641765</v>
      </c>
      <c r="P113">
        <f t="shared" si="7"/>
        <v>-2.0094830258332681E-3</v>
      </c>
      <c r="S113">
        <v>4484.6793664397801</v>
      </c>
      <c r="T113">
        <v>0</v>
      </c>
      <c r="U113">
        <v>4484.6793664397801</v>
      </c>
      <c r="V113">
        <v>-0.11458289526774498</v>
      </c>
    </row>
    <row r="114" spans="1:22" x14ac:dyDescent="0.3">
      <c r="A114">
        <v>4423.024799451071</v>
      </c>
      <c r="B114">
        <v>-9.9946432579860797E-3</v>
      </c>
      <c r="C114">
        <v>4423.024799451071</v>
      </c>
      <c r="D114">
        <v>-8.3872270448786534E-3</v>
      </c>
      <c r="G114" s="50">
        <v>4423.024799451071</v>
      </c>
      <c r="H114">
        <v>-1.05213269459608E-2</v>
      </c>
      <c r="I114" s="50">
        <v>4423.024799451071</v>
      </c>
      <c r="J114">
        <v>-6.3321646989475087E-3</v>
      </c>
      <c r="L114">
        <v>4423.024799451071</v>
      </c>
      <c r="M114">
        <f t="shared" si="4"/>
        <v>0.9990348508580783</v>
      </c>
      <c r="N114">
        <f t="shared" si="5"/>
        <v>0.99927124826651437</v>
      </c>
      <c r="O114">
        <f t="shared" si="6"/>
        <v>0.99976343019090552</v>
      </c>
      <c r="P114">
        <f t="shared" si="7"/>
        <v>-2.0550623459311447E-3</v>
      </c>
      <c r="S114">
        <v>4423.024799451071</v>
      </c>
      <c r="T114">
        <v>0</v>
      </c>
      <c r="U114">
        <v>4423.024799451071</v>
      </c>
      <c r="V114">
        <v>-0.113261874890384</v>
      </c>
    </row>
    <row r="115" spans="1:22" x14ac:dyDescent="0.3">
      <c r="A115">
        <v>4362.2178483831294</v>
      </c>
      <c r="B115">
        <v>-1.00052465201099E-2</v>
      </c>
      <c r="C115">
        <v>4362.2178483831294</v>
      </c>
      <c r="D115">
        <v>-8.4057812304069186E-3</v>
      </c>
      <c r="G115" s="50">
        <v>4362.2178483831294</v>
      </c>
      <c r="H115">
        <v>-1.0543050963776798E-2</v>
      </c>
      <c r="I115" s="50">
        <v>4362.2178483831294</v>
      </c>
      <c r="J115">
        <v>-6.3421579488946896E-3</v>
      </c>
      <c r="L115">
        <v>4362.2178483831294</v>
      </c>
      <c r="M115">
        <f t="shared" si="4"/>
        <v>0.99903271679249084</v>
      </c>
      <c r="N115">
        <f t="shared" si="5"/>
        <v>0.99927009859019778</v>
      </c>
      <c r="O115">
        <f t="shared" si="6"/>
        <v>0.99976244481042531</v>
      </c>
      <c r="P115">
        <f t="shared" si="7"/>
        <v>-2.063623281512229E-3</v>
      </c>
      <c r="S115">
        <v>4362.2178483831294</v>
      </c>
      <c r="T115">
        <v>0</v>
      </c>
      <c r="U115">
        <v>4362.2178483831294</v>
      </c>
      <c r="V115">
        <v>-0.11172296456641102</v>
      </c>
    </row>
    <row r="116" spans="1:22" x14ac:dyDescent="0.3">
      <c r="A116">
        <v>4302.2468603644202</v>
      </c>
      <c r="B116">
        <v>-9.9984138583047184E-3</v>
      </c>
      <c r="C116">
        <v>4302.2468603644202</v>
      </c>
      <c r="D116">
        <v>-8.4424075096286594E-3</v>
      </c>
      <c r="G116" s="50">
        <v>4302.2468603644202</v>
      </c>
      <c r="H116">
        <v>-1.0573296468189899E-2</v>
      </c>
      <c r="I116" s="50">
        <v>4302.2468603644202</v>
      </c>
      <c r="J116">
        <v>-6.3633783415048394E-3</v>
      </c>
      <c r="L116">
        <v>4302.2468603644202</v>
      </c>
      <c r="M116">
        <f t="shared" si="4"/>
        <v>0.99902850412394273</v>
      </c>
      <c r="N116">
        <f t="shared" si="5"/>
        <v>0.99926765728840883</v>
      </c>
      <c r="O116">
        <f t="shared" si="6"/>
        <v>0.99976067156509896</v>
      </c>
      <c r="P116">
        <f t="shared" si="7"/>
        <v>-2.07902916812382E-3</v>
      </c>
      <c r="S116">
        <v>4302.2468603644202</v>
      </c>
      <c r="T116">
        <v>0</v>
      </c>
      <c r="U116">
        <v>4302.2468603644202</v>
      </c>
      <c r="V116">
        <v>-0.10970886267784899</v>
      </c>
    </row>
    <row r="117" spans="1:22" x14ac:dyDescent="0.3">
      <c r="A117">
        <v>4243.1003427249898</v>
      </c>
      <c r="B117">
        <v>-1.0010663610649799E-2</v>
      </c>
      <c r="C117">
        <v>4243.1003427249898</v>
      </c>
      <c r="D117">
        <v>-8.4803558555868117E-3</v>
      </c>
      <c r="G117" s="50">
        <v>4243.1003427249898</v>
      </c>
      <c r="H117">
        <v>-1.06292651883128E-2</v>
      </c>
      <c r="I117" s="50">
        <v>4243.1003427249898</v>
      </c>
      <c r="J117">
        <v>-6.3819621299550993E-3</v>
      </c>
      <c r="L117">
        <v>4243.1003427249898</v>
      </c>
      <c r="M117">
        <f t="shared" si="4"/>
        <v>0.99902413941312351</v>
      </c>
      <c r="N117">
        <f t="shared" si="5"/>
        <v>0.99926551931985808</v>
      </c>
      <c r="O117">
        <f t="shared" si="6"/>
        <v>0.99975844267407643</v>
      </c>
      <c r="P117">
        <f t="shared" si="7"/>
        <v>-2.0983937256317123E-3</v>
      </c>
      <c r="S117">
        <v>4243.1003427249898</v>
      </c>
      <c r="T117">
        <v>0</v>
      </c>
      <c r="U117">
        <v>4243.1003427249898</v>
      </c>
      <c r="V117">
        <v>-0.10873185621784401</v>
      </c>
    </row>
    <row r="118" spans="1:22" x14ac:dyDescent="0.3">
      <c r="A118">
        <v>4184.7669607940406</v>
      </c>
      <c r="B118">
        <v>-1.00257193502644E-2</v>
      </c>
      <c r="C118">
        <v>4184.7669607940406</v>
      </c>
      <c r="D118">
        <v>-8.5313334838481598E-3</v>
      </c>
      <c r="G118" s="50">
        <v>4184.7669607940406</v>
      </c>
      <c r="H118">
        <v>-1.0676136098133502E-2</v>
      </c>
      <c r="I118" s="50">
        <v>4184.7669607940406</v>
      </c>
      <c r="J118">
        <v>-6.4266171870947918E-3</v>
      </c>
      <c r="L118">
        <v>4184.7669607940406</v>
      </c>
      <c r="M118">
        <f t="shared" si="4"/>
        <v>0.99901827614132543</v>
      </c>
      <c r="N118">
        <f t="shared" si="5"/>
        <v>0.99926038200566003</v>
      </c>
      <c r="O118">
        <f t="shared" si="6"/>
        <v>0.99975771493727328</v>
      </c>
      <c r="P118">
        <f t="shared" si="7"/>
        <v>-2.1047162967533679E-3</v>
      </c>
      <c r="S118">
        <v>4184.7669607940406</v>
      </c>
      <c r="T118">
        <v>0</v>
      </c>
      <c r="U118">
        <v>4184.7669607940406</v>
      </c>
      <c r="V118">
        <v>-0.107111365793173</v>
      </c>
    </row>
    <row r="119" spans="1:22" x14ac:dyDescent="0.3">
      <c r="A119">
        <v>4127.2355357278002</v>
      </c>
      <c r="B119">
        <v>-1.0059635242218298E-2</v>
      </c>
      <c r="C119">
        <v>4127.2355357278002</v>
      </c>
      <c r="D119">
        <v>-8.5709492279373422E-3</v>
      </c>
      <c r="G119" s="50">
        <v>4127.2355357278002</v>
      </c>
      <c r="H119">
        <v>-1.0711141023403901E-2</v>
      </c>
      <c r="I119" s="50">
        <v>4127.2355357278002</v>
      </c>
      <c r="J119">
        <v>-6.4103950267143687E-3</v>
      </c>
      <c r="L119">
        <v>4127.2355357278002</v>
      </c>
      <c r="M119">
        <f t="shared" si="4"/>
        <v>0.99901371969820185</v>
      </c>
      <c r="N119">
        <f t="shared" si="5"/>
        <v>0.99926224827129217</v>
      </c>
      <c r="O119">
        <f t="shared" si="6"/>
        <v>0.9997512879391568</v>
      </c>
      <c r="P119">
        <f t="shared" si="7"/>
        <v>-2.1605542012229735E-3</v>
      </c>
      <c r="S119">
        <v>4127.2355357278002</v>
      </c>
      <c r="T119">
        <v>0</v>
      </c>
      <c r="U119">
        <v>4127.2355357278002</v>
      </c>
      <c r="V119">
        <v>-0.10565620515291103</v>
      </c>
    </row>
    <row r="120" spans="1:22" x14ac:dyDescent="0.3">
      <c r="A120">
        <v>4070.4950423672399</v>
      </c>
      <c r="B120">
        <v>-1.0057892214925399E-2</v>
      </c>
      <c r="C120">
        <v>4070.4950423672399</v>
      </c>
      <c r="D120">
        <v>-8.5910492935473287E-3</v>
      </c>
      <c r="G120" s="50">
        <v>4070.4950423672399</v>
      </c>
      <c r="H120">
        <v>-1.0731773733651102E-2</v>
      </c>
      <c r="I120" s="50">
        <v>4070.4950423672399</v>
      </c>
      <c r="J120">
        <v>-6.4177073897213298E-3</v>
      </c>
      <c r="L120">
        <v>4070.4950423672399</v>
      </c>
      <c r="M120">
        <f t="shared" si="4"/>
        <v>0.99901140787766118</v>
      </c>
      <c r="N120">
        <f t="shared" si="5"/>
        <v>0.99926140702583222</v>
      </c>
      <c r="O120">
        <f t="shared" si="6"/>
        <v>0.99974981606773439</v>
      </c>
      <c r="P120">
        <f t="shared" si="7"/>
        <v>-2.1733419038259989E-3</v>
      </c>
      <c r="S120">
        <v>4070.4950423672399</v>
      </c>
      <c r="T120">
        <v>0</v>
      </c>
      <c r="U120">
        <v>4070.4950423672399</v>
      </c>
      <c r="V120">
        <v>-0.104116784934376</v>
      </c>
    </row>
    <row r="121" spans="1:22" x14ac:dyDescent="0.3">
      <c r="A121">
        <v>4014.5346071252197</v>
      </c>
      <c r="B121">
        <v>-1.0062995965766E-2</v>
      </c>
      <c r="C121">
        <v>4014.5346071252197</v>
      </c>
      <c r="D121">
        <v>-8.6151729525023608E-3</v>
      </c>
      <c r="G121" s="50">
        <v>4014.5346071252197</v>
      </c>
      <c r="H121">
        <v>-1.0775870462594801E-2</v>
      </c>
      <c r="I121" s="50">
        <v>4014.5346071252197</v>
      </c>
      <c r="J121">
        <v>-6.4449320853121597E-3</v>
      </c>
      <c r="L121">
        <v>4014.5346071252197</v>
      </c>
      <c r="M121">
        <f t="shared" si="4"/>
        <v>0.99900863328829481</v>
      </c>
      <c r="N121">
        <f t="shared" si="5"/>
        <v>0.99925827498684483</v>
      </c>
      <c r="O121">
        <f t="shared" si="6"/>
        <v>0.99975017299851399</v>
      </c>
      <c r="P121">
        <f t="shared" si="7"/>
        <v>-2.1702408671902011E-3</v>
      </c>
      <c r="S121">
        <v>4014.5346071252197</v>
      </c>
      <c r="T121">
        <v>0</v>
      </c>
      <c r="U121">
        <v>4014.5346071252197</v>
      </c>
      <c r="V121">
        <v>-0.10253401268875</v>
      </c>
    </row>
    <row r="122" spans="1:22" x14ac:dyDescent="0.3">
      <c r="A122">
        <v>3959.3435059027397</v>
      </c>
      <c r="B122">
        <v>-1.00918042853879E-2</v>
      </c>
      <c r="C122">
        <v>3959.3435059027397</v>
      </c>
      <c r="D122">
        <v>-8.663458536458191E-3</v>
      </c>
      <c r="G122" s="50">
        <v>3959.3435059027397</v>
      </c>
      <c r="H122">
        <v>-1.0803602523071096E-2</v>
      </c>
      <c r="I122" s="50">
        <v>3959.3435059027397</v>
      </c>
      <c r="J122">
        <v>-6.4422061255973882E-3</v>
      </c>
      <c r="L122">
        <v>3959.3435059027397</v>
      </c>
      <c r="M122">
        <f t="shared" si="4"/>
        <v>0.99900307973152991</v>
      </c>
      <c r="N122">
        <f t="shared" si="5"/>
        <v>0.99925858859182304</v>
      </c>
      <c r="O122">
        <f t="shared" si="6"/>
        <v>0.99974430156196781</v>
      </c>
      <c r="P122">
        <f t="shared" si="7"/>
        <v>-2.2212524108608028E-3</v>
      </c>
      <c r="S122">
        <v>3959.3435059027397</v>
      </c>
      <c r="T122">
        <v>0</v>
      </c>
      <c r="U122">
        <v>3959.3435059027397</v>
      </c>
      <c r="V122">
        <v>-0.10161459811064302</v>
      </c>
    </row>
    <row r="123" spans="1:22" x14ac:dyDescent="0.3">
      <c r="A123">
        <v>3904.9111620337999</v>
      </c>
      <c r="B123">
        <v>-1.0095881610995998E-2</v>
      </c>
      <c r="C123">
        <v>3904.9111620337999</v>
      </c>
      <c r="D123">
        <v>-8.6818435298422203E-3</v>
      </c>
      <c r="G123" s="50">
        <v>3904.9111620337999</v>
      </c>
      <c r="H123">
        <v>-1.08538452525496E-2</v>
      </c>
      <c r="I123" s="50">
        <v>3904.9111620337999</v>
      </c>
      <c r="J123">
        <v>-6.4723327772686703E-3</v>
      </c>
      <c r="L123">
        <v>3904.9111620337999</v>
      </c>
      <c r="M123">
        <f t="shared" si="4"/>
        <v>0.99900096519331472</v>
      </c>
      <c r="N123">
        <f t="shared" si="5"/>
        <v>0.99925512271043659</v>
      </c>
      <c r="O123">
        <f t="shared" si="6"/>
        <v>0.99974565302559326</v>
      </c>
      <c r="P123">
        <f t="shared" si="7"/>
        <v>-2.20951075257355E-3</v>
      </c>
      <c r="S123">
        <v>3904.9111620337999</v>
      </c>
      <c r="T123">
        <v>0</v>
      </c>
      <c r="U123">
        <v>3904.9111620337999</v>
      </c>
      <c r="V123">
        <v>-9.9419392657011871E-2</v>
      </c>
    </row>
    <row r="124" spans="1:22" x14ac:dyDescent="0.3">
      <c r="A124">
        <v>3851.2271442584711</v>
      </c>
      <c r="B124">
        <v>-1.0115860984467501E-2</v>
      </c>
      <c r="C124">
        <v>3851.2271442584711</v>
      </c>
      <c r="D124">
        <v>-8.7124362446749093E-3</v>
      </c>
      <c r="G124" s="50">
        <v>3851.2271442584711</v>
      </c>
      <c r="H124">
        <v>-1.0858239360970299E-2</v>
      </c>
      <c r="I124" s="50">
        <v>3851.2271442584711</v>
      </c>
      <c r="J124">
        <v>-6.4861522045711207E-3</v>
      </c>
      <c r="L124">
        <v>3851.2271442584711</v>
      </c>
      <c r="M124">
        <f t="shared" si="4"/>
        <v>0.99899744660177181</v>
      </c>
      <c r="N124">
        <f t="shared" si="5"/>
        <v>0.99925353287645124</v>
      </c>
      <c r="O124">
        <f t="shared" si="6"/>
        <v>0.99974372242253451</v>
      </c>
      <c r="P124">
        <f t="shared" si="7"/>
        <v>-2.2262840401037886E-3</v>
      </c>
      <c r="S124">
        <v>3851.2271442584711</v>
      </c>
      <c r="T124">
        <v>0</v>
      </c>
      <c r="U124">
        <v>3851.2271442584711</v>
      </c>
      <c r="V124">
        <v>-9.8592840259982481E-2</v>
      </c>
    </row>
    <row r="125" spans="1:22" x14ac:dyDescent="0.3">
      <c r="A125">
        <v>3798.28116472394</v>
      </c>
      <c r="B125">
        <v>-1.0137453563388001E-2</v>
      </c>
      <c r="C125">
        <v>3798.28116472394</v>
      </c>
      <c r="D125">
        <v>-8.7404237198448788E-3</v>
      </c>
      <c r="G125" s="50">
        <v>3798.28116472394</v>
      </c>
      <c r="H125">
        <v>-1.0909717276406E-2</v>
      </c>
      <c r="I125" s="50">
        <v>3798.28116472394</v>
      </c>
      <c r="J125">
        <v>-6.4927776437609707E-3</v>
      </c>
      <c r="L125">
        <v>3798.28116472394</v>
      </c>
      <c r="M125">
        <f t="shared" si="4"/>
        <v>0.99899422766020651</v>
      </c>
      <c r="N125">
        <f t="shared" si="5"/>
        <v>0.99925277066425777</v>
      </c>
      <c r="O125">
        <f t="shared" si="6"/>
        <v>0.9997412636605657</v>
      </c>
      <c r="P125">
        <f t="shared" si="7"/>
        <v>-2.2476460760839081E-3</v>
      </c>
      <c r="S125">
        <v>3798.28116472394</v>
      </c>
      <c r="T125">
        <v>0</v>
      </c>
      <c r="U125">
        <v>3798.28116472394</v>
      </c>
      <c r="V125">
        <v>-9.6751338146702878E-2</v>
      </c>
    </row>
    <row r="126" spans="1:22" x14ac:dyDescent="0.3">
      <c r="A126">
        <v>3746.063077012951</v>
      </c>
      <c r="B126">
        <v>-1.0149653182466601E-2</v>
      </c>
      <c r="C126">
        <v>3746.063077012951</v>
      </c>
      <c r="D126">
        <v>-8.7484409025583975E-3</v>
      </c>
      <c r="G126" s="50">
        <v>3746.063077012951</v>
      </c>
      <c r="H126">
        <v>-1.0957608564950301E-2</v>
      </c>
      <c r="I126" s="50">
        <v>3746.063077012951</v>
      </c>
      <c r="J126">
        <v>-6.5103935323298995E-3</v>
      </c>
      <c r="L126">
        <v>3746.063077012951</v>
      </c>
      <c r="M126">
        <f t="shared" si="4"/>
        <v>0.99899330557670207</v>
      </c>
      <c r="N126">
        <f t="shared" si="5"/>
        <v>0.99925074407765091</v>
      </c>
      <c r="O126">
        <f t="shared" si="6"/>
        <v>0.99974236846709941</v>
      </c>
      <c r="P126">
        <f t="shared" si="7"/>
        <v>-2.238047370228498E-3</v>
      </c>
      <c r="S126">
        <v>3746.063077012951</v>
      </c>
      <c r="T126">
        <v>0</v>
      </c>
      <c r="U126">
        <v>3746.063077012951</v>
      </c>
      <c r="V126">
        <v>-9.5789676060064666E-2</v>
      </c>
    </row>
    <row r="127" spans="1:22" x14ac:dyDescent="0.3">
      <c r="A127">
        <v>3694.5628741993401</v>
      </c>
      <c r="B127">
        <v>-1.01618764721706E-2</v>
      </c>
      <c r="C127">
        <v>3694.5628741993401</v>
      </c>
      <c r="D127">
        <v>-8.7893631297963695E-3</v>
      </c>
      <c r="G127" s="50">
        <v>3694.5628741993401</v>
      </c>
      <c r="H127">
        <v>-1.097776581038E-2</v>
      </c>
      <c r="I127" s="50">
        <v>3694.5628741993401</v>
      </c>
      <c r="J127">
        <v>-6.521393818208719E-3</v>
      </c>
      <c r="L127">
        <v>3694.5628741993401</v>
      </c>
      <c r="M127">
        <f t="shared" si="4"/>
        <v>0.99898859898515402</v>
      </c>
      <c r="N127">
        <f t="shared" si="5"/>
        <v>0.9992494785726368</v>
      </c>
      <c r="O127">
        <f t="shared" si="6"/>
        <v>0.99973892446973756</v>
      </c>
      <c r="P127">
        <f t="shared" si="7"/>
        <v>-2.2679693115876505E-3</v>
      </c>
      <c r="S127">
        <v>3694.5628741993401</v>
      </c>
      <c r="T127">
        <v>0</v>
      </c>
      <c r="U127">
        <v>3694.5628741993401</v>
      </c>
      <c r="V127">
        <v>-9.4729389079361681E-2</v>
      </c>
    </row>
    <row r="128" spans="1:22" x14ac:dyDescent="0.3">
      <c r="A128">
        <v>3643.7706869304002</v>
      </c>
      <c r="B128">
        <v>-1.0177511257061901E-2</v>
      </c>
      <c r="C128">
        <v>3643.7706869304002</v>
      </c>
      <c r="D128">
        <v>-8.8108512524631092E-3</v>
      </c>
      <c r="G128" s="50">
        <v>3643.7706869304002</v>
      </c>
      <c r="H128">
        <v>-1.10219509797708E-2</v>
      </c>
      <c r="I128" s="50">
        <v>3643.7706869304002</v>
      </c>
      <c r="J128">
        <v>-6.5557043144723786E-3</v>
      </c>
      <c r="L128">
        <v>3643.7706869304002</v>
      </c>
      <c r="M128">
        <f t="shared" si="4"/>
        <v>0.99898612757878136</v>
      </c>
      <c r="N128">
        <f t="shared" si="5"/>
        <v>0.99924553140323724</v>
      </c>
      <c r="O128">
        <f t="shared" si="6"/>
        <v>0.99974040031573463</v>
      </c>
      <c r="P128">
        <f t="shared" si="7"/>
        <v>-2.2551469379907306E-3</v>
      </c>
      <c r="S128">
        <v>3643.7706869304002</v>
      </c>
      <c r="T128">
        <v>0</v>
      </c>
      <c r="U128">
        <v>3643.7706869304002</v>
      </c>
      <c r="V128">
        <v>-9.3208646241009788E-2</v>
      </c>
    </row>
    <row r="129" spans="1:22" x14ac:dyDescent="0.3">
      <c r="A129">
        <v>3593.6767815355097</v>
      </c>
      <c r="B129">
        <v>-1.0193565971584002E-2</v>
      </c>
      <c r="C129">
        <v>3593.6767815355097</v>
      </c>
      <c r="D129">
        <v>-8.8519250166250018E-3</v>
      </c>
      <c r="G129" s="50">
        <v>3593.6767815355097</v>
      </c>
      <c r="H129">
        <v>-1.1070078531489901E-2</v>
      </c>
      <c r="I129" s="50">
        <v>3593.6767815355097</v>
      </c>
      <c r="J129">
        <v>-6.57531000998426E-3</v>
      </c>
      <c r="L129">
        <v>3593.6767815355097</v>
      </c>
      <c r="M129">
        <f t="shared" si="4"/>
        <v>0.99898140359248866</v>
      </c>
      <c r="N129">
        <f t="shared" si="5"/>
        <v>0.99924327591965012</v>
      </c>
      <c r="O129">
        <f t="shared" si="6"/>
        <v>0.99973792935767269</v>
      </c>
      <c r="P129">
        <f t="shared" si="7"/>
        <v>-2.2766150066407418E-3</v>
      </c>
      <c r="S129">
        <v>3593.6767815355097</v>
      </c>
      <c r="T129">
        <v>0</v>
      </c>
      <c r="U129">
        <v>3593.6767815355097</v>
      </c>
      <c r="V129">
        <v>-9.2141837236226806E-2</v>
      </c>
    </row>
    <row r="130" spans="1:22" x14ac:dyDescent="0.3">
      <c r="A130">
        <v>3544.271558160789</v>
      </c>
      <c r="B130">
        <v>-1.0179578383125096E-2</v>
      </c>
      <c r="C130">
        <v>3544.271558160789</v>
      </c>
      <c r="D130">
        <v>-8.8868042197870374E-3</v>
      </c>
      <c r="G130" s="50">
        <v>3544.271558160789</v>
      </c>
      <c r="H130">
        <v>-1.10791730632031E-2</v>
      </c>
      <c r="I130" s="50">
        <v>3544.271558160789</v>
      </c>
      <c r="J130">
        <v>-6.58649913362857E-3</v>
      </c>
      <c r="L130">
        <v>3544.271558160789</v>
      </c>
      <c r="M130">
        <f t="shared" si="4"/>
        <v>0.9989773920741728</v>
      </c>
      <c r="N130">
        <f t="shared" si="5"/>
        <v>0.99924198869982217</v>
      </c>
      <c r="O130">
        <f t="shared" si="6"/>
        <v>0.99973520265497084</v>
      </c>
      <c r="P130">
        <f t="shared" si="7"/>
        <v>-2.3003050861584674E-3</v>
      </c>
      <c r="S130">
        <v>3544.271558160789</v>
      </c>
      <c r="T130">
        <v>0</v>
      </c>
      <c r="U130">
        <v>3544.271558160789</v>
      </c>
      <c r="V130">
        <v>-9.0536379061632019E-2</v>
      </c>
    </row>
    <row r="131" spans="1:22" x14ac:dyDescent="0.3">
      <c r="A131">
        <v>3495.54554892943</v>
      </c>
      <c r="B131">
        <v>-1.02266425672043E-2</v>
      </c>
      <c r="C131">
        <v>3495.54554892943</v>
      </c>
      <c r="D131">
        <v>-8.9114768772996303E-3</v>
      </c>
      <c r="G131" s="50">
        <v>3495.54554892943</v>
      </c>
      <c r="H131">
        <v>-1.1105074867662599E-2</v>
      </c>
      <c r="I131" s="50">
        <v>3495.54554892943</v>
      </c>
      <c r="J131">
        <v>-6.6042559119299012E-3</v>
      </c>
      <c r="L131">
        <v>3495.54554892943</v>
      </c>
      <c r="M131">
        <f t="shared" si="4"/>
        <v>0.99897455443829697</v>
      </c>
      <c r="N131">
        <f t="shared" si="5"/>
        <v>0.99923994592688059</v>
      </c>
      <c r="O131">
        <f t="shared" si="6"/>
        <v>0.99973440664610591</v>
      </c>
      <c r="P131">
        <f t="shared" si="7"/>
        <v>-2.3072209653697291E-3</v>
      </c>
      <c r="S131">
        <v>3495.54554892943</v>
      </c>
      <c r="T131">
        <v>0</v>
      </c>
      <c r="U131">
        <v>3495.54554892943</v>
      </c>
      <c r="V131">
        <v>-8.9878541644679899E-2</v>
      </c>
    </row>
    <row r="132" spans="1:22" x14ac:dyDescent="0.3">
      <c r="A132">
        <v>3447.4894161273</v>
      </c>
      <c r="B132">
        <v>-1.0218747508157202E-2</v>
      </c>
      <c r="C132">
        <v>3447.4894161273</v>
      </c>
      <c r="D132">
        <v>-8.9387964867460798E-3</v>
      </c>
      <c r="G132" s="50">
        <v>3447.4894161273</v>
      </c>
      <c r="H132">
        <v>-1.1150290828353102E-2</v>
      </c>
      <c r="I132" s="50">
        <v>3447.4894161273</v>
      </c>
      <c r="J132">
        <v>-6.6372493675015305E-3</v>
      </c>
      <c r="L132">
        <v>3447.4894161273</v>
      </c>
      <c r="M132">
        <f t="shared" si="4"/>
        <v>0.99897141238228526</v>
      </c>
      <c r="N132">
        <f t="shared" si="5"/>
        <v>0.99923615030921575</v>
      </c>
      <c r="O132">
        <f t="shared" si="6"/>
        <v>0.99973505969850218</v>
      </c>
      <c r="P132">
        <f t="shared" si="7"/>
        <v>-2.3015471192445493E-3</v>
      </c>
      <c r="S132">
        <v>3447.4894161273</v>
      </c>
      <c r="T132">
        <v>0</v>
      </c>
      <c r="U132">
        <v>3447.4894161273</v>
      </c>
      <c r="V132">
        <v>-8.8359461019479099E-2</v>
      </c>
    </row>
    <row r="133" spans="1:22" x14ac:dyDescent="0.3">
      <c r="A133">
        <v>3400.0939504134999</v>
      </c>
      <c r="B133">
        <v>-1.0243630783367298E-2</v>
      </c>
      <c r="C133">
        <v>3400.0939504134999</v>
      </c>
      <c r="D133">
        <v>-8.9673394546618615E-3</v>
      </c>
      <c r="G133" s="50">
        <v>3400.0939504134999</v>
      </c>
      <c r="H133">
        <v>-1.11660360882115E-2</v>
      </c>
      <c r="I133" s="50">
        <v>3400.0939504134999</v>
      </c>
      <c r="J133">
        <v>-6.6532136983451593E-3</v>
      </c>
      <c r="L133">
        <v>3400.0939504134999</v>
      </c>
      <c r="M133">
        <f t="shared" ref="M133:M196" si="8">10^(D133/20)</f>
        <v>0.99896812963713066</v>
      </c>
      <c r="N133">
        <f t="shared" ref="N133:N196" si="9">10^(J133/20)</f>
        <v>0.99923431375331895</v>
      </c>
      <c r="O133">
        <f t="shared" ref="O133:O196" si="10">M133/N133</f>
        <v>0.99973361191411803</v>
      </c>
      <c r="P133">
        <f t="shared" ref="P133:P196" si="11">D133-J133</f>
        <v>-2.3141257563167022E-3</v>
      </c>
      <c r="S133">
        <v>3400.0939504134999</v>
      </c>
      <c r="T133">
        <v>0</v>
      </c>
      <c r="U133">
        <v>3400.0939504134999</v>
      </c>
      <c r="V133">
        <v>-8.696114311612739E-2</v>
      </c>
    </row>
    <row r="134" spans="1:22" x14ac:dyDescent="0.3">
      <c r="A134">
        <v>3353.3500690554597</v>
      </c>
      <c r="B134">
        <v>-1.02621977058595E-2</v>
      </c>
      <c r="C134">
        <v>3353.3500690554597</v>
      </c>
      <c r="D134">
        <v>-8.9916294791814299E-3</v>
      </c>
      <c r="G134" s="50">
        <v>3353.3500690554597</v>
      </c>
      <c r="H134">
        <v>-1.1196499742654999E-2</v>
      </c>
      <c r="I134" s="50">
        <v>3353.3500690554597</v>
      </c>
      <c r="J134">
        <v>-6.6689680652920998E-3</v>
      </c>
      <c r="L134">
        <v>3353.3500690554597</v>
      </c>
      <c r="M134">
        <f t="shared" si="8"/>
        <v>0.99896533603423598</v>
      </c>
      <c r="N134">
        <f t="shared" si="9"/>
        <v>0.99923250135523145</v>
      </c>
      <c r="O134">
        <f t="shared" si="10"/>
        <v>0.99973262947248698</v>
      </c>
      <c r="P134">
        <f t="shared" si="11"/>
        <v>-2.3226614138893301E-3</v>
      </c>
      <c r="S134">
        <v>3353.3500690554597</v>
      </c>
      <c r="T134">
        <v>0</v>
      </c>
      <c r="U134">
        <v>3353.3500690554597</v>
      </c>
      <c r="V134">
        <v>-8.5725335784900381E-2</v>
      </c>
    </row>
    <row r="135" spans="1:22" x14ac:dyDescent="0.3">
      <c r="A135">
        <v>3307.2488141884201</v>
      </c>
      <c r="B135">
        <v>-1.0284910001290301E-2</v>
      </c>
      <c r="C135">
        <v>3307.2488141884201</v>
      </c>
      <c r="D135">
        <v>-9.0229975153836798E-3</v>
      </c>
      <c r="G135" s="50">
        <v>3307.2488141884201</v>
      </c>
      <c r="H135">
        <v>-1.12272465861158E-2</v>
      </c>
      <c r="I135" s="50">
        <v>3307.2488141884201</v>
      </c>
      <c r="J135">
        <v>-6.6882469900141498E-3</v>
      </c>
      <c r="L135">
        <v>3307.2488141884201</v>
      </c>
      <c r="M135">
        <f t="shared" si="8"/>
        <v>0.99896172839868602</v>
      </c>
      <c r="N135">
        <f t="shared" si="9"/>
        <v>0.99923028349297471</v>
      </c>
      <c r="O135">
        <f t="shared" si="10"/>
        <v>0.99973123803519048</v>
      </c>
      <c r="P135">
        <f t="shared" si="11"/>
        <v>-2.33475052536953E-3</v>
      </c>
      <c r="S135">
        <v>3307.2488141884201</v>
      </c>
      <c r="T135">
        <v>0</v>
      </c>
      <c r="U135">
        <v>3307.2488141884201</v>
      </c>
      <c r="V135">
        <v>-8.5013009951694599E-2</v>
      </c>
    </row>
    <row r="136" spans="1:22" x14ac:dyDescent="0.3">
      <c r="A136">
        <v>3261.7813510987289</v>
      </c>
      <c r="B136">
        <v>-1.0302839065243598E-2</v>
      </c>
      <c r="C136">
        <v>3261.7813510987289</v>
      </c>
      <c r="D136">
        <v>-9.056245216297526E-3</v>
      </c>
      <c r="G136" s="50">
        <v>3261.7813510987289</v>
      </c>
      <c r="H136">
        <v>-1.1261862180442698E-2</v>
      </c>
      <c r="I136" s="50">
        <v>3261.7813510987289</v>
      </c>
      <c r="J136">
        <v>-6.6949635749951209E-3</v>
      </c>
      <c r="L136">
        <v>3261.7813510987289</v>
      </c>
      <c r="M136">
        <f t="shared" si="8"/>
        <v>0.99895790459725753</v>
      </c>
      <c r="N136">
        <f t="shared" si="9"/>
        <v>0.99922951081305345</v>
      </c>
      <c r="O136">
        <f t="shared" si="10"/>
        <v>0.99972818435318733</v>
      </c>
      <c r="P136">
        <f t="shared" si="11"/>
        <v>-2.3612816413024051E-3</v>
      </c>
      <c r="S136">
        <v>3261.7813510987289</v>
      </c>
      <c r="T136">
        <v>0</v>
      </c>
      <c r="U136">
        <v>3261.7813510987289</v>
      </c>
      <c r="V136">
        <v>-8.3189714812704096E-2</v>
      </c>
    </row>
    <row r="137" spans="1:22" x14ac:dyDescent="0.3">
      <c r="A137">
        <v>3216.9389665307694</v>
      </c>
      <c r="B137">
        <v>-1.0317643871656998E-2</v>
      </c>
      <c r="C137">
        <v>3216.9389665307694</v>
      </c>
      <c r="D137">
        <v>-9.0998622145386805E-3</v>
      </c>
      <c r="G137" s="50">
        <v>3216.9389665307694</v>
      </c>
      <c r="H137">
        <v>-1.1273702684000702E-2</v>
      </c>
      <c r="I137" s="50">
        <v>3216.9389665307694</v>
      </c>
      <c r="J137">
        <v>-6.6794817212389012E-3</v>
      </c>
      <c r="L137">
        <v>3216.9389665307694</v>
      </c>
      <c r="M137">
        <f t="shared" si="8"/>
        <v>0.99895288825033357</v>
      </c>
      <c r="N137">
        <f t="shared" si="9"/>
        <v>0.99923129185559345</v>
      </c>
      <c r="O137">
        <f t="shared" si="10"/>
        <v>0.99972138221898266</v>
      </c>
      <c r="P137">
        <f t="shared" si="11"/>
        <v>-2.4203804932997793E-3</v>
      </c>
      <c r="S137">
        <v>3216.9389665307694</v>
      </c>
      <c r="T137">
        <v>0</v>
      </c>
      <c r="U137">
        <v>3216.9389665307694</v>
      </c>
      <c r="V137">
        <v>-8.2336829343546483E-2</v>
      </c>
    </row>
    <row r="138" spans="1:22" x14ac:dyDescent="0.3">
      <c r="A138">
        <v>3172.7130670172405</v>
      </c>
      <c r="B138">
        <v>-1.0323967958506401E-2</v>
      </c>
      <c r="C138">
        <v>3172.7130670172405</v>
      </c>
      <c r="D138">
        <v>-9.1017026730013263E-3</v>
      </c>
      <c r="G138" s="50">
        <v>3172.7130670172405</v>
      </c>
      <c r="H138">
        <v>-1.12939734569968E-2</v>
      </c>
      <c r="I138" s="50">
        <v>3172.7130670172405</v>
      </c>
      <c r="J138">
        <v>-6.7270124905068679E-3</v>
      </c>
      <c r="L138">
        <v>3172.7130670172405</v>
      </c>
      <c r="M138">
        <f t="shared" si="8"/>
        <v>0.99895267658161813</v>
      </c>
      <c r="N138">
        <f t="shared" si="9"/>
        <v>0.99922582389502645</v>
      </c>
      <c r="O138">
        <f t="shared" si="10"/>
        <v>0.99972664105863118</v>
      </c>
      <c r="P138">
        <f t="shared" si="11"/>
        <v>-2.3746901824944584E-3</v>
      </c>
      <c r="S138">
        <v>3172.7130670172405</v>
      </c>
      <c r="T138">
        <v>0</v>
      </c>
      <c r="U138">
        <v>3172.7130670172405</v>
      </c>
      <c r="V138">
        <v>-8.1125139958828626E-2</v>
      </c>
    </row>
    <row r="139" spans="1:22" x14ac:dyDescent="0.3">
      <c r="A139">
        <v>3129.0951772322501</v>
      </c>
      <c r="B139">
        <v>-1.0358347088445401E-2</v>
      </c>
      <c r="C139">
        <v>3129.0951772322501</v>
      </c>
      <c r="D139">
        <v>-9.1208999051828488E-3</v>
      </c>
      <c r="G139" s="50">
        <v>3129.0951772322501</v>
      </c>
      <c r="H139">
        <v>-1.1317794833891399E-2</v>
      </c>
      <c r="I139" s="50">
        <v>3129.0951772322501</v>
      </c>
      <c r="J139">
        <v>-6.722915101780841E-3</v>
      </c>
      <c r="L139">
        <v>3129.0951772322501</v>
      </c>
      <c r="M139">
        <f t="shared" si="8"/>
        <v>0.99895046873578108</v>
      </c>
      <c r="N139">
        <f t="shared" si="9"/>
        <v>0.99922629525924611</v>
      </c>
      <c r="O139">
        <f t="shared" si="10"/>
        <v>0.99972395990300333</v>
      </c>
      <c r="P139">
        <f t="shared" si="11"/>
        <v>-2.3979848034020078E-3</v>
      </c>
      <c r="S139">
        <v>3129.0951772322501</v>
      </c>
      <c r="T139">
        <v>0</v>
      </c>
      <c r="U139">
        <v>3129.0951772322501</v>
      </c>
      <c r="V139">
        <v>-8.0048061857496591E-2</v>
      </c>
    </row>
    <row r="140" spans="1:22" x14ac:dyDescent="0.3">
      <c r="A140">
        <v>3086.07693836719</v>
      </c>
      <c r="B140">
        <v>-1.0376329683627001E-2</v>
      </c>
      <c r="C140">
        <v>3086.07693836719</v>
      </c>
      <c r="D140">
        <v>-9.1545735812784187E-3</v>
      </c>
      <c r="G140" s="50">
        <v>3086.07693836719</v>
      </c>
      <c r="H140">
        <v>-1.13790062666103E-2</v>
      </c>
      <c r="I140" s="50">
        <v>3086.07693836719</v>
      </c>
      <c r="J140">
        <v>-6.7571157297754494E-3</v>
      </c>
      <c r="L140">
        <v>3086.07693836719</v>
      </c>
      <c r="M140">
        <f t="shared" si="8"/>
        <v>0.99894659598690716</v>
      </c>
      <c r="N140">
        <f t="shared" si="9"/>
        <v>0.99922236082063931</v>
      </c>
      <c r="O140">
        <f t="shared" si="10"/>
        <v>0.9997240205538378</v>
      </c>
      <c r="P140">
        <f t="shared" si="11"/>
        <v>-2.3974578515029692E-3</v>
      </c>
      <c r="S140">
        <v>3086.07693836719</v>
      </c>
      <c r="T140">
        <v>0</v>
      </c>
      <c r="U140">
        <v>3086.07693836719</v>
      </c>
      <c r="V140">
        <v>-7.8794982374631686E-2</v>
      </c>
    </row>
    <row r="141" spans="1:22" x14ac:dyDescent="0.3">
      <c r="A141">
        <v>3043.6501065288294</v>
      </c>
      <c r="B141">
        <v>-1.03612276905376E-2</v>
      </c>
      <c r="C141">
        <v>3043.6501065288294</v>
      </c>
      <c r="D141">
        <v>-9.1701968782681598E-3</v>
      </c>
      <c r="G141" s="50">
        <v>3043.6501065288294</v>
      </c>
      <c r="H141">
        <v>-1.1372742316718101E-2</v>
      </c>
      <c r="I141" s="50">
        <v>3043.6501065288294</v>
      </c>
      <c r="J141">
        <v>-6.7676294962961013E-3</v>
      </c>
      <c r="L141">
        <v>3043.6501065288294</v>
      </c>
      <c r="M141">
        <f t="shared" si="8"/>
        <v>0.99894479918474166</v>
      </c>
      <c r="N141">
        <f t="shared" si="9"/>
        <v>0.99922115132055545</v>
      </c>
      <c r="O141">
        <f t="shared" si="10"/>
        <v>0.9997234324599229</v>
      </c>
      <c r="P141">
        <f t="shared" si="11"/>
        <v>-2.4025673819720586E-3</v>
      </c>
      <c r="S141">
        <v>3043.6501065288294</v>
      </c>
      <c r="T141">
        <v>0</v>
      </c>
      <c r="U141">
        <v>3043.6501065288294</v>
      </c>
      <c r="V141">
        <v>-7.7588933600111376E-2</v>
      </c>
    </row>
    <row r="142" spans="1:22" x14ac:dyDescent="0.3">
      <c r="A142">
        <v>3001.80655115953</v>
      </c>
      <c r="B142">
        <v>-1.0376579531116099E-2</v>
      </c>
      <c r="C142">
        <v>3001.80655115953</v>
      </c>
      <c r="D142">
        <v>-9.2018755222619594E-3</v>
      </c>
      <c r="G142" s="50">
        <v>3001.80655115953</v>
      </c>
      <c r="H142">
        <v>-1.13898947636056E-2</v>
      </c>
      <c r="I142" s="50">
        <v>3001.80655115953</v>
      </c>
      <c r="J142">
        <v>-6.7985011589606296E-3</v>
      </c>
      <c r="L142">
        <v>3001.80655115953</v>
      </c>
      <c r="M142">
        <f t="shared" si="8"/>
        <v>0.99894115590117794</v>
      </c>
      <c r="N142">
        <f t="shared" si="9"/>
        <v>0.99921759986356296</v>
      </c>
      <c r="O142">
        <f t="shared" si="10"/>
        <v>0.99972333957846338</v>
      </c>
      <c r="P142">
        <f t="shared" si="11"/>
        <v>-2.4033743633013298E-3</v>
      </c>
      <c r="S142">
        <v>3001.80655115953</v>
      </c>
      <c r="T142">
        <v>0</v>
      </c>
      <c r="U142">
        <v>3001.80655115953</v>
      </c>
      <c r="V142">
        <v>-7.6845607781308403E-2</v>
      </c>
    </row>
    <row r="143" spans="1:22" x14ac:dyDescent="0.3">
      <c r="A143">
        <v>2960.5382534790701</v>
      </c>
      <c r="B143">
        <v>-1.0386786701451101E-2</v>
      </c>
      <c r="C143">
        <v>2960.5382534790701</v>
      </c>
      <c r="D143">
        <v>-9.2140832178455503E-3</v>
      </c>
      <c r="G143" s="50">
        <v>2960.5382534790701</v>
      </c>
      <c r="H143">
        <v>-1.1419336435132601E-2</v>
      </c>
      <c r="I143" s="50">
        <v>2960.5382534790701</v>
      </c>
      <c r="J143">
        <v>-6.8021554596761503E-3</v>
      </c>
      <c r="L143">
        <v>2960.5382534790701</v>
      </c>
      <c r="M143">
        <f t="shared" si="8"/>
        <v>0.99893975192743723</v>
      </c>
      <c r="N143">
        <f t="shared" si="9"/>
        <v>0.99921717947590283</v>
      </c>
      <c r="O143">
        <f t="shared" si="10"/>
        <v>0.99972235510541252</v>
      </c>
      <c r="P143">
        <f t="shared" si="11"/>
        <v>-2.4119277581694E-3</v>
      </c>
      <c r="S143">
        <v>2960.5382534790701</v>
      </c>
      <c r="T143">
        <v>0</v>
      </c>
      <c r="U143">
        <v>2960.5382534790701</v>
      </c>
      <c r="V143">
        <v>-7.5555445118766315E-2</v>
      </c>
    </row>
    <row r="144" spans="1:22" x14ac:dyDescent="0.3">
      <c r="A144">
        <v>2919.8373049480101</v>
      </c>
      <c r="B144">
        <v>-1.03921302844027E-2</v>
      </c>
      <c r="C144">
        <v>2919.8373049480101</v>
      </c>
      <c r="D144">
        <v>-9.2467359548634599E-3</v>
      </c>
      <c r="G144" s="50">
        <v>2919.8373049480101</v>
      </c>
      <c r="H144">
        <v>-1.14674991132296E-2</v>
      </c>
      <c r="I144" s="50">
        <v>2919.8373049480101</v>
      </c>
      <c r="J144">
        <v>-6.8335566673729097E-3</v>
      </c>
      <c r="L144">
        <v>2919.8373049480101</v>
      </c>
      <c r="M144">
        <f t="shared" si="8"/>
        <v>0.99893599663499555</v>
      </c>
      <c r="N144">
        <f t="shared" si="9"/>
        <v>0.9992135671148461</v>
      </c>
      <c r="O144">
        <f t="shared" si="10"/>
        <v>0.99972221105779013</v>
      </c>
      <c r="P144">
        <f t="shared" si="11"/>
        <v>-2.4131792874905501E-3</v>
      </c>
      <c r="S144">
        <v>2919.8373049480101</v>
      </c>
      <c r="T144">
        <v>0</v>
      </c>
      <c r="U144">
        <v>2919.8373049480101</v>
      </c>
      <c r="V144">
        <v>-7.4603560291393478E-2</v>
      </c>
    </row>
    <row r="145" spans="1:22" x14ac:dyDescent="0.3">
      <c r="A145">
        <v>2879.6959057520689</v>
      </c>
      <c r="B145">
        <v>-1.0400363281718202E-2</v>
      </c>
      <c r="C145">
        <v>2879.6959057520689</v>
      </c>
      <c r="D145">
        <v>-9.2790440833068998E-3</v>
      </c>
      <c r="G145" s="50">
        <v>2879.6959057520689</v>
      </c>
      <c r="H145">
        <v>-1.1483459276555199E-2</v>
      </c>
      <c r="I145" s="50">
        <v>2879.6959057520689</v>
      </c>
      <c r="J145">
        <v>-6.8743696486985098E-3</v>
      </c>
      <c r="L145">
        <v>2879.6959057520689</v>
      </c>
      <c r="M145">
        <f t="shared" si="8"/>
        <v>0.99893228098883746</v>
      </c>
      <c r="N145">
        <f t="shared" si="9"/>
        <v>0.99920887205302222</v>
      </c>
      <c r="O145">
        <f t="shared" si="10"/>
        <v>0.99972318994364362</v>
      </c>
      <c r="P145">
        <f t="shared" si="11"/>
        <v>-2.4046744346083899E-3</v>
      </c>
      <c r="S145">
        <v>2879.6959057520689</v>
      </c>
      <c r="T145">
        <v>0</v>
      </c>
      <c r="U145">
        <v>2879.6959057520689</v>
      </c>
      <c r="V145">
        <v>-7.3681662673323003E-2</v>
      </c>
    </row>
    <row r="146" spans="1:22" x14ac:dyDescent="0.3">
      <c r="A146">
        <v>2840.10636330742</v>
      </c>
      <c r="B146">
        <v>-1.0401573495290202E-2</v>
      </c>
      <c r="C146">
        <v>2840.10636330742</v>
      </c>
      <c r="D146">
        <v>-9.2881086107047817E-3</v>
      </c>
      <c r="G146" s="50">
        <v>2840.10636330742</v>
      </c>
      <c r="H146">
        <v>-1.1518117317748303E-2</v>
      </c>
      <c r="I146" s="50">
        <v>2840.10636330742</v>
      </c>
      <c r="J146">
        <v>-6.8790949910800987E-3</v>
      </c>
      <c r="L146">
        <v>2840.10636330742</v>
      </c>
      <c r="M146">
        <f t="shared" si="8"/>
        <v>0.99893123851136167</v>
      </c>
      <c r="N146">
        <f t="shared" si="9"/>
        <v>0.99920832845841734</v>
      </c>
      <c r="O146">
        <f t="shared" si="10"/>
        <v>0.9997226905149168</v>
      </c>
      <c r="P146">
        <f t="shared" si="11"/>
        <v>-2.4090136196246829E-3</v>
      </c>
      <c r="S146">
        <v>2840.10636330742</v>
      </c>
      <c r="T146">
        <v>0</v>
      </c>
      <c r="U146">
        <v>2840.10636330742</v>
      </c>
      <c r="V146">
        <v>-7.2656620315399309E-2</v>
      </c>
    </row>
    <row r="147" spans="1:22" x14ac:dyDescent="0.3">
      <c r="A147">
        <v>2801.0610907864898</v>
      </c>
      <c r="B147">
        <v>-1.0437994743563101E-2</v>
      </c>
      <c r="C147">
        <v>2801.0610907864898</v>
      </c>
      <c r="D147">
        <v>-9.3445240143010203E-3</v>
      </c>
      <c r="G147" s="50">
        <v>2801.0610907864898</v>
      </c>
      <c r="H147">
        <v>-1.15371311744112E-2</v>
      </c>
      <c r="I147" s="50">
        <v>2801.0610907864898</v>
      </c>
      <c r="J147">
        <v>-6.8880433971064909E-3</v>
      </c>
      <c r="L147">
        <v>2801.0610907864898</v>
      </c>
      <c r="M147">
        <f t="shared" si="8"/>
        <v>0.99892475041073869</v>
      </c>
      <c r="N147">
        <f t="shared" si="9"/>
        <v>0.99920729905123007</v>
      </c>
      <c r="O147">
        <f t="shared" si="10"/>
        <v>0.99971722720524592</v>
      </c>
      <c r="P147">
        <f t="shared" si="11"/>
        <v>-2.4564806171945295E-3</v>
      </c>
      <c r="S147">
        <v>2801.0610907864898</v>
      </c>
      <c r="T147">
        <v>0</v>
      </c>
      <c r="U147">
        <v>2801.0610907864898</v>
      </c>
      <c r="V147">
        <v>-7.146535646188569E-2</v>
      </c>
    </row>
    <row r="148" spans="1:22" x14ac:dyDescent="0.3">
      <c r="A148">
        <v>2762.5526056640701</v>
      </c>
      <c r="B148">
        <v>-1.0433236046286501E-2</v>
      </c>
      <c r="C148">
        <v>2762.5526056640701</v>
      </c>
      <c r="D148">
        <v>-9.3234073187603208E-3</v>
      </c>
      <c r="G148" s="50">
        <v>2762.5526056640701</v>
      </c>
      <c r="H148">
        <v>-1.1561159729926503E-2</v>
      </c>
      <c r="I148" s="50">
        <v>2762.5526056640701</v>
      </c>
      <c r="J148">
        <v>-6.8915763848012897E-3</v>
      </c>
      <c r="L148">
        <v>2762.5526056640701</v>
      </c>
      <c r="M148">
        <f t="shared" si="8"/>
        <v>0.99892717894901673</v>
      </c>
      <c r="N148">
        <f t="shared" si="9"/>
        <v>0.99920689262350393</v>
      </c>
      <c r="O148">
        <f t="shared" si="10"/>
        <v>0.99972006430644933</v>
      </c>
      <c r="P148">
        <f t="shared" si="11"/>
        <v>-2.431830933959031E-3</v>
      </c>
      <c r="S148">
        <v>2762.5526056640701</v>
      </c>
      <c r="T148">
        <v>0</v>
      </c>
      <c r="U148">
        <v>2762.5526056640701</v>
      </c>
      <c r="V148">
        <v>-7.0632246021261794E-2</v>
      </c>
    </row>
    <row r="149" spans="1:22" x14ac:dyDescent="0.3">
      <c r="A149">
        <v>2724.5735282833402</v>
      </c>
      <c r="B149">
        <v>-1.0453333400581698E-2</v>
      </c>
      <c r="C149">
        <v>2724.5735282833402</v>
      </c>
      <c r="D149">
        <v>-9.348902619954828E-3</v>
      </c>
      <c r="G149" s="50">
        <v>2724.5735282833402</v>
      </c>
      <c r="H149">
        <v>-1.1575973313144099E-2</v>
      </c>
      <c r="I149" s="50">
        <v>2724.5735282833402</v>
      </c>
      <c r="J149">
        <v>-6.9123404300395113E-3</v>
      </c>
      <c r="L149">
        <v>2724.5735282833402</v>
      </c>
      <c r="M149">
        <f t="shared" si="8"/>
        <v>0.99892424684729964</v>
      </c>
      <c r="N149">
        <f t="shared" si="9"/>
        <v>0.99920450397326932</v>
      </c>
      <c r="O149">
        <f t="shared" si="10"/>
        <v>0.99971951975310835</v>
      </c>
      <c r="P149">
        <f t="shared" si="11"/>
        <v>-2.4365621899153167E-3</v>
      </c>
      <c r="S149">
        <v>2724.5735282833402</v>
      </c>
      <c r="T149">
        <v>0</v>
      </c>
      <c r="U149">
        <v>2724.5735282833402</v>
      </c>
      <c r="V149">
        <v>-6.9924016542415798E-2</v>
      </c>
    </row>
    <row r="150" spans="1:22" x14ac:dyDescent="0.3">
      <c r="A150">
        <v>2687.1165804416996</v>
      </c>
      <c r="B150">
        <v>-1.0462730096274202E-2</v>
      </c>
      <c r="C150">
        <v>2687.1165804416996</v>
      </c>
      <c r="D150">
        <v>-9.3575862992492098E-3</v>
      </c>
      <c r="G150" s="50">
        <v>2687.1165804416996</v>
      </c>
      <c r="H150">
        <v>-1.16016737521266E-2</v>
      </c>
      <c r="I150" s="50">
        <v>2687.1165804416996</v>
      </c>
      <c r="J150">
        <v>-6.9175631973257103E-3</v>
      </c>
      <c r="L150">
        <v>2687.1165804416996</v>
      </c>
      <c r="M150">
        <f t="shared" si="8"/>
        <v>0.99892324817775369</v>
      </c>
      <c r="N150">
        <f t="shared" si="9"/>
        <v>0.99920390315847163</v>
      </c>
      <c r="O150">
        <f t="shared" si="10"/>
        <v>0.9997191214127259</v>
      </c>
      <c r="P150">
        <f t="shared" si="11"/>
        <v>-2.4400231019234995E-3</v>
      </c>
      <c r="S150">
        <v>2687.1165804416996</v>
      </c>
      <c r="T150">
        <v>0</v>
      </c>
      <c r="U150">
        <v>2687.1165804416996</v>
      </c>
      <c r="V150">
        <v>-6.8460714013554011E-2</v>
      </c>
    </row>
    <row r="151" spans="1:22" x14ac:dyDescent="0.3">
      <c r="A151">
        <v>2650.1745839959599</v>
      </c>
      <c r="B151">
        <v>-1.0480192169798598E-2</v>
      </c>
      <c r="C151">
        <v>2650.1745839959599</v>
      </c>
      <c r="D151">
        <v>-9.3870479763895811E-3</v>
      </c>
      <c r="G151" s="50">
        <v>2650.1745839959599</v>
      </c>
      <c r="H151">
        <v>-1.1621083500777601E-2</v>
      </c>
      <c r="I151" s="50">
        <v>2650.1745839959599</v>
      </c>
      <c r="J151">
        <v>-6.9327190664432697E-3</v>
      </c>
      <c r="L151">
        <v>2650.1745839959599</v>
      </c>
      <c r="M151">
        <f t="shared" si="8"/>
        <v>0.99891985993480559</v>
      </c>
      <c r="N151">
        <f t="shared" si="9"/>
        <v>0.99920215966517401</v>
      </c>
      <c r="O151">
        <f t="shared" si="10"/>
        <v>0.99971747485967899</v>
      </c>
      <c r="P151">
        <f t="shared" si="11"/>
        <v>-2.4543289099463114E-3</v>
      </c>
      <c r="S151">
        <v>2650.1745839959599</v>
      </c>
      <c r="T151">
        <v>0</v>
      </c>
      <c r="U151">
        <v>2650.1745839959599</v>
      </c>
      <c r="V151">
        <v>-6.7966851675578296E-2</v>
      </c>
    </row>
    <row r="152" spans="1:22" x14ac:dyDescent="0.3">
      <c r="A152">
        <v>2613.7404594867398</v>
      </c>
      <c r="B152">
        <v>-1.0461757006346399E-2</v>
      </c>
      <c r="C152">
        <v>2613.7404594867398</v>
      </c>
      <c r="D152">
        <v>-9.4112242458994581E-3</v>
      </c>
      <c r="G152" s="50">
        <v>2613.7404594867398</v>
      </c>
      <c r="H152">
        <v>-1.16357481515404E-2</v>
      </c>
      <c r="I152" s="50">
        <v>2613.7404594867398</v>
      </c>
      <c r="J152">
        <v>-6.9697342701017812E-3</v>
      </c>
      <c r="L152">
        <v>2613.7404594867398</v>
      </c>
      <c r="M152">
        <f t="shared" si="8"/>
        <v>0.99891707954924347</v>
      </c>
      <c r="N152">
        <f t="shared" si="9"/>
        <v>0.99919790154146204</v>
      </c>
      <c r="O152">
        <f t="shared" si="10"/>
        <v>0.99971895258007915</v>
      </c>
      <c r="P152">
        <f t="shared" si="11"/>
        <v>-2.4414899757976768E-3</v>
      </c>
      <c r="S152">
        <v>2613.7404594867398</v>
      </c>
      <c r="T152">
        <v>0</v>
      </c>
      <c r="U152">
        <v>2613.7404594867398</v>
      </c>
      <c r="V152">
        <v>-6.6963240160930582E-2</v>
      </c>
    </row>
    <row r="153" spans="1:22" x14ac:dyDescent="0.3">
      <c r="A153">
        <v>2577.80722478183</v>
      </c>
      <c r="B153">
        <v>-1.0494364982762801E-2</v>
      </c>
      <c r="C153">
        <v>2577.80722478183</v>
      </c>
      <c r="D153">
        <v>-9.4424716010339995E-3</v>
      </c>
      <c r="G153" s="50">
        <v>2577.80722478183</v>
      </c>
      <c r="H153">
        <v>-1.1652667667291401E-2</v>
      </c>
      <c r="I153" s="50">
        <v>2577.80722478183</v>
      </c>
      <c r="J153">
        <v>-6.9684185516924301E-3</v>
      </c>
      <c r="L153">
        <v>2577.80722478183</v>
      </c>
      <c r="M153">
        <f t="shared" si="8"/>
        <v>0.99891348596679075</v>
      </c>
      <c r="N153">
        <f t="shared" si="9"/>
        <v>0.99919805289765329</v>
      </c>
      <c r="O153">
        <f t="shared" si="10"/>
        <v>0.99971520467835451</v>
      </c>
      <c r="P153">
        <f t="shared" si="11"/>
        <v>-2.4740530493415694E-3</v>
      </c>
      <c r="S153">
        <v>2577.80722478183</v>
      </c>
      <c r="T153">
        <v>0</v>
      </c>
      <c r="U153">
        <v>2577.80722478183</v>
      </c>
      <c r="V153">
        <v>-6.5970365101122808E-2</v>
      </c>
    </row>
    <row r="154" spans="1:22" x14ac:dyDescent="0.3">
      <c r="A154">
        <v>2542.3679937380998</v>
      </c>
      <c r="B154">
        <v>-1.05017174698252E-2</v>
      </c>
      <c r="C154">
        <v>2542.3679937380998</v>
      </c>
      <c r="D154">
        <v>-9.4440227365190418E-3</v>
      </c>
      <c r="G154" s="50">
        <v>2542.3679937380998</v>
      </c>
      <c r="H154">
        <v>-1.1687129270797202E-2</v>
      </c>
      <c r="I154" s="50">
        <v>2542.3679937380998</v>
      </c>
      <c r="J154">
        <v>-7.0021902662317998E-3</v>
      </c>
      <c r="L154">
        <v>2542.3679937380998</v>
      </c>
      <c r="M154">
        <f t="shared" si="8"/>
        <v>0.99891330757976537</v>
      </c>
      <c r="N154">
        <f t="shared" si="9"/>
        <v>0.99919416791094329</v>
      </c>
      <c r="O154">
        <f t="shared" si="10"/>
        <v>0.99971891316002659</v>
      </c>
      <c r="P154">
        <f t="shared" si="11"/>
        <v>-2.441832470287242E-3</v>
      </c>
      <c r="S154">
        <v>2542.3679937380998</v>
      </c>
      <c r="T154">
        <v>0</v>
      </c>
      <c r="U154">
        <v>2542.3679937380998</v>
      </c>
      <c r="V154">
        <v>-6.5046884518665082E-2</v>
      </c>
    </row>
    <row r="155" spans="1:22" x14ac:dyDescent="0.3">
      <c r="A155">
        <v>2507.4159748818897</v>
      </c>
      <c r="B155">
        <v>-1.05400973545296E-2</v>
      </c>
      <c r="C155">
        <v>2507.4159748818897</v>
      </c>
      <c r="D155">
        <v>-9.4742294763666014E-3</v>
      </c>
      <c r="G155" s="50">
        <v>2507.4159748818897</v>
      </c>
      <c r="H155">
        <v>-1.1697961760506401E-2</v>
      </c>
      <c r="I155" s="50">
        <v>2507.4159748818897</v>
      </c>
      <c r="J155">
        <v>-6.9862640103559191E-3</v>
      </c>
      <c r="L155">
        <v>2507.4159748818897</v>
      </c>
      <c r="M155">
        <f t="shared" si="8"/>
        <v>0.99890983368552955</v>
      </c>
      <c r="N155">
        <f t="shared" si="9"/>
        <v>0.99919600001303521</v>
      </c>
      <c r="O155">
        <f t="shared" si="10"/>
        <v>0.99971360340963944</v>
      </c>
      <c r="P155">
        <f t="shared" si="11"/>
        <v>-2.4879654660106823E-3</v>
      </c>
      <c r="S155">
        <v>2507.4159748818897</v>
      </c>
      <c r="T155">
        <v>0</v>
      </c>
      <c r="U155">
        <v>2507.4159748818897</v>
      </c>
      <c r="V155">
        <v>-6.4614181041747501E-2</v>
      </c>
    </row>
    <row r="156" spans="1:22" x14ac:dyDescent="0.3">
      <c r="A156">
        <v>2472.9444701074799</v>
      </c>
      <c r="B156">
        <v>-1.0528424573824201E-2</v>
      </c>
      <c r="C156">
        <v>2472.9444701074799</v>
      </c>
      <c r="D156">
        <v>-9.4857744757447307E-3</v>
      </c>
      <c r="G156" s="50">
        <v>2472.9444701074799</v>
      </c>
      <c r="H156">
        <v>-1.1719709512195199E-2</v>
      </c>
      <c r="I156" s="50">
        <v>2472.9444701074799</v>
      </c>
      <c r="J156">
        <v>-7.0117603564674802E-3</v>
      </c>
      <c r="L156">
        <v>2472.9444701074799</v>
      </c>
      <c r="M156">
        <f t="shared" si="8"/>
        <v>0.99890850596825209</v>
      </c>
      <c r="N156">
        <f t="shared" si="9"/>
        <v>0.99919306700205768</v>
      </c>
      <c r="O156">
        <f t="shared" si="10"/>
        <v>0.99971520915906731</v>
      </c>
      <c r="P156">
        <f t="shared" si="11"/>
        <v>-2.4740141192772505E-3</v>
      </c>
      <c r="S156">
        <v>2472.9444701074799</v>
      </c>
      <c r="T156">
        <v>0</v>
      </c>
      <c r="U156">
        <v>2472.9444701074799</v>
      </c>
      <c r="V156">
        <v>-6.3192622531687392E-2</v>
      </c>
    </row>
    <row r="157" spans="1:22" x14ac:dyDescent="0.3">
      <c r="A157">
        <v>2438.94687339352</v>
      </c>
      <c r="B157">
        <v>-1.0552867411129098E-2</v>
      </c>
      <c r="C157">
        <v>2438.94687339352</v>
      </c>
      <c r="D157">
        <v>-9.5054052948431288E-3</v>
      </c>
      <c r="G157" s="50">
        <v>2438.94687339352</v>
      </c>
      <c r="H157">
        <v>-1.1731659749129599E-2</v>
      </c>
      <c r="I157" s="50">
        <v>2438.94687339352</v>
      </c>
      <c r="J157">
        <v>-7.0257441445659482E-3</v>
      </c>
      <c r="L157">
        <v>2438.94687339352</v>
      </c>
      <c r="M157">
        <f t="shared" si="8"/>
        <v>0.99890624835609776</v>
      </c>
      <c r="N157">
        <f t="shared" si="9"/>
        <v>0.99919145835936785</v>
      </c>
      <c r="O157">
        <f t="shared" si="10"/>
        <v>0.99971455920596197</v>
      </c>
      <c r="P157">
        <f t="shared" si="11"/>
        <v>-2.4796611502771806E-3</v>
      </c>
      <c r="S157">
        <v>2438.94687339352</v>
      </c>
      <c r="T157">
        <v>0</v>
      </c>
      <c r="U157">
        <v>2438.94687339352</v>
      </c>
      <c r="V157">
        <v>-6.2394722885983397E-2</v>
      </c>
    </row>
    <row r="158" spans="1:22" x14ac:dyDescent="0.3">
      <c r="A158">
        <v>2405.4166695370695</v>
      </c>
      <c r="B158">
        <v>-1.0550115917904E-2</v>
      </c>
      <c r="C158">
        <v>2405.4166695370695</v>
      </c>
      <c r="D158">
        <v>-9.5176793587475675E-3</v>
      </c>
      <c r="G158" s="50">
        <v>2405.4166695370695</v>
      </c>
      <c r="H158">
        <v>-1.17543868892544E-2</v>
      </c>
      <c r="I158" s="50">
        <v>2405.4166695370695</v>
      </c>
      <c r="J158">
        <v>-7.0320850659283509E-3</v>
      </c>
      <c r="L158">
        <v>2405.4166695370695</v>
      </c>
      <c r="M158">
        <f t="shared" si="8"/>
        <v>0.99890483679885078</v>
      </c>
      <c r="N158">
        <f t="shared" si="9"/>
        <v>0.99919072892433991</v>
      </c>
      <c r="O158">
        <f t="shared" si="10"/>
        <v>0.99971387632289488</v>
      </c>
      <c r="P158">
        <f t="shared" si="11"/>
        <v>-2.4855942928192166E-3</v>
      </c>
      <c r="S158">
        <v>2405.4166695370695</v>
      </c>
      <c r="T158">
        <v>0</v>
      </c>
      <c r="U158">
        <v>2405.4166695370695</v>
      </c>
      <c r="V158">
        <v>-6.1363133539828099E-2</v>
      </c>
    </row>
    <row r="159" spans="1:22" x14ac:dyDescent="0.3">
      <c r="A159">
        <v>2372.347432905</v>
      </c>
      <c r="B159">
        <v>-1.0567993187308899E-2</v>
      </c>
      <c r="C159">
        <v>2372.347432905</v>
      </c>
      <c r="D159">
        <v>-9.5416796023069413E-3</v>
      </c>
      <c r="G159" s="50">
        <v>2372.347432905</v>
      </c>
      <c r="H159">
        <v>-1.1774591994005001E-2</v>
      </c>
      <c r="I159" s="50">
        <v>2372.347432905</v>
      </c>
      <c r="J159">
        <v>-7.046249619616419E-3</v>
      </c>
      <c r="L159">
        <v>2372.347432905</v>
      </c>
      <c r="M159">
        <f t="shared" si="8"/>
        <v>0.99890207669859021</v>
      </c>
      <c r="N159">
        <f t="shared" si="9"/>
        <v>0.9991890994908823</v>
      </c>
      <c r="O159">
        <f t="shared" si="10"/>
        <v>0.99971274427189172</v>
      </c>
      <c r="P159">
        <f t="shared" si="11"/>
        <v>-2.4954299826905222E-3</v>
      </c>
      <c r="S159">
        <v>2372.347432905</v>
      </c>
      <c r="T159">
        <v>0</v>
      </c>
      <c r="U159">
        <v>2372.347432905</v>
      </c>
      <c r="V159">
        <v>-6.109664500445431E-2</v>
      </c>
    </row>
    <row r="160" spans="1:22" x14ac:dyDescent="0.3">
      <c r="A160">
        <v>2339.7328262026599</v>
      </c>
      <c r="B160">
        <v>-1.0581309462576601E-2</v>
      </c>
      <c r="C160">
        <v>2339.7328262026599</v>
      </c>
      <c r="D160">
        <v>-9.5676168815705797E-3</v>
      </c>
      <c r="G160" s="50">
        <v>2339.7328262026599</v>
      </c>
      <c r="H160">
        <v>-1.1794459984628001E-2</v>
      </c>
      <c r="I160" s="50">
        <v>2339.7328262026599</v>
      </c>
      <c r="J160">
        <v>-7.0715314423600104E-3</v>
      </c>
      <c r="L160">
        <v>2339.7328262026599</v>
      </c>
      <c r="M160">
        <f t="shared" si="8"/>
        <v>0.99889909384196673</v>
      </c>
      <c r="N160">
        <f t="shared" si="9"/>
        <v>0.99918619117797591</v>
      </c>
      <c r="O160">
        <f t="shared" si="10"/>
        <v>0.9997126688313509</v>
      </c>
      <c r="P160">
        <f t="shared" si="11"/>
        <v>-2.4960854392105693E-3</v>
      </c>
      <c r="S160">
        <v>2339.7328262026599</v>
      </c>
      <c r="T160">
        <v>0</v>
      </c>
      <c r="U160">
        <v>2339.7328262026599</v>
      </c>
      <c r="V160">
        <v>-6.0223065778018288E-2</v>
      </c>
    </row>
    <row r="161" spans="1:22" x14ac:dyDescent="0.3">
      <c r="A161">
        <v>2307.5665992593599</v>
      </c>
      <c r="B161">
        <v>-1.0574166572387602E-2</v>
      </c>
      <c r="C161">
        <v>2307.5665992593599</v>
      </c>
      <c r="D161">
        <v>-9.5755858451571484E-3</v>
      </c>
      <c r="G161" s="50">
        <v>2307.5665992593599</v>
      </c>
      <c r="H161">
        <v>-1.1816029408036799E-2</v>
      </c>
      <c r="I161" s="50">
        <v>2307.5665992593599</v>
      </c>
      <c r="J161">
        <v>-7.051484956820531E-3</v>
      </c>
      <c r="L161">
        <v>2307.5665992593599</v>
      </c>
      <c r="M161">
        <f t="shared" si="8"/>
        <v>0.99889817739158748</v>
      </c>
      <c r="N161">
        <f t="shared" si="9"/>
        <v>0.9991884972393561</v>
      </c>
      <c r="O161">
        <f t="shared" si="10"/>
        <v>0.99970944436553189</v>
      </c>
      <c r="P161">
        <f t="shared" si="11"/>
        <v>-2.5241008883366174E-3</v>
      </c>
      <c r="S161">
        <v>2307.5665992593599</v>
      </c>
      <c r="T161">
        <v>0</v>
      </c>
      <c r="U161">
        <v>2307.5665992593599</v>
      </c>
      <c r="V161">
        <v>-5.8472937528620185E-2</v>
      </c>
    </row>
    <row r="162" spans="1:22" x14ac:dyDescent="0.3">
      <c r="A162">
        <v>2275.8425878306698</v>
      </c>
      <c r="B162">
        <v>-1.05882221220105E-2</v>
      </c>
      <c r="C162">
        <v>2275.8425878306698</v>
      </c>
      <c r="D162">
        <v>-9.5584029684415029E-3</v>
      </c>
      <c r="G162" s="50">
        <v>2275.8425878306698</v>
      </c>
      <c r="H162">
        <v>-1.1836915307659499E-2</v>
      </c>
      <c r="I162" s="50">
        <v>2275.8425878306698</v>
      </c>
      <c r="J162">
        <v>-7.0613418638234395E-3</v>
      </c>
      <c r="L162">
        <v>2275.8425878306698</v>
      </c>
      <c r="M162">
        <f t="shared" si="8"/>
        <v>0.99890015346564853</v>
      </c>
      <c r="N162">
        <f t="shared" si="9"/>
        <v>0.99918736334255154</v>
      </c>
      <c r="O162">
        <f t="shared" si="10"/>
        <v>0.99971255653600122</v>
      </c>
      <c r="P162">
        <f t="shared" si="11"/>
        <v>-2.4970611046180634E-3</v>
      </c>
      <c r="S162">
        <v>2275.8425878306698</v>
      </c>
      <c r="T162">
        <v>0</v>
      </c>
      <c r="U162">
        <v>2275.8425878306698</v>
      </c>
      <c r="V162">
        <v>-5.7829955645558997E-2</v>
      </c>
    </row>
    <row r="163" spans="1:22" x14ac:dyDescent="0.3">
      <c r="A163">
        <v>2244.5547124170598</v>
      </c>
      <c r="B163">
        <v>-1.0629055259865301E-2</v>
      </c>
      <c r="C163">
        <v>2244.5547124170598</v>
      </c>
      <c r="D163">
        <v>-9.5949746152077589E-3</v>
      </c>
      <c r="G163" s="50">
        <v>2244.5547124170598</v>
      </c>
      <c r="H163">
        <v>-1.1828893028072497E-2</v>
      </c>
      <c r="I163" s="50">
        <v>2244.5547124170598</v>
      </c>
      <c r="J163">
        <v>-7.0771260107840303E-3</v>
      </c>
      <c r="L163">
        <v>2244.5547124170598</v>
      </c>
      <c r="M163">
        <f t="shared" si="8"/>
        <v>0.99889594763893608</v>
      </c>
      <c r="N163">
        <f t="shared" si="9"/>
        <v>0.99918554760386347</v>
      </c>
      <c r="O163">
        <f t="shared" si="10"/>
        <v>0.99971016397742951</v>
      </c>
      <c r="P163">
        <f t="shared" si="11"/>
        <v>-2.5178486044237286E-3</v>
      </c>
      <c r="S163">
        <v>2244.5547124170598</v>
      </c>
      <c r="T163">
        <v>0</v>
      </c>
      <c r="U163">
        <v>2244.5547124170598</v>
      </c>
      <c r="V163">
        <v>-5.757639664807359E-2</v>
      </c>
    </row>
    <row r="164" spans="1:22" x14ac:dyDescent="0.3">
      <c r="A164">
        <v>2213.6969770988603</v>
      </c>
      <c r="B164">
        <v>-1.0620478281438099E-2</v>
      </c>
      <c r="C164">
        <v>2213.6969770988603</v>
      </c>
      <c r="D164">
        <v>-9.6051309061841676E-3</v>
      </c>
      <c r="G164" s="50">
        <v>2213.6969770988603</v>
      </c>
      <c r="H164">
        <v>-1.1852939384499099E-2</v>
      </c>
      <c r="I164" s="50">
        <v>2213.6969770988603</v>
      </c>
      <c r="J164">
        <v>-7.1088007439647381E-3</v>
      </c>
      <c r="L164">
        <v>2213.6969770988603</v>
      </c>
      <c r="M164">
        <f t="shared" si="8"/>
        <v>0.99889477964436213</v>
      </c>
      <c r="N164">
        <f t="shared" si="9"/>
        <v>0.99918190389213912</v>
      </c>
      <c r="O164">
        <f t="shared" si="10"/>
        <v>0.99971264066466925</v>
      </c>
      <c r="P164">
        <f t="shared" si="11"/>
        <v>-2.4963301622194295E-3</v>
      </c>
      <c r="S164">
        <v>2213.6969770988603</v>
      </c>
      <c r="T164">
        <v>0</v>
      </c>
      <c r="U164">
        <v>2213.6969770988603</v>
      </c>
      <c r="V164">
        <v>-5.6882673603070096E-2</v>
      </c>
    </row>
    <row r="165" spans="1:22" x14ac:dyDescent="0.3">
      <c r="A165">
        <v>2183.2634683872702</v>
      </c>
      <c r="B165">
        <v>-1.0627877895490204E-2</v>
      </c>
      <c r="C165">
        <v>2183.2634683872702</v>
      </c>
      <c r="D165">
        <v>-9.6200322900324483E-3</v>
      </c>
      <c r="G165" s="50">
        <v>2183.2634683872702</v>
      </c>
      <c r="H165">
        <v>-1.1870669717677E-2</v>
      </c>
      <c r="I165" s="50">
        <v>2183.2634683872702</v>
      </c>
      <c r="J165">
        <v>-7.0968276161377814E-3</v>
      </c>
      <c r="L165">
        <v>2183.2634683872702</v>
      </c>
      <c r="M165">
        <f t="shared" si="8"/>
        <v>0.99889306595671623</v>
      </c>
      <c r="N165">
        <f t="shared" si="9"/>
        <v>0.99918328122266042</v>
      </c>
      <c r="O165">
        <f t="shared" si="10"/>
        <v>0.99970954751605823</v>
      </c>
      <c r="P165">
        <f t="shared" si="11"/>
        <v>-2.5232046738946669E-3</v>
      </c>
      <c r="S165">
        <v>2183.2634683872702</v>
      </c>
      <c r="T165">
        <v>0</v>
      </c>
      <c r="U165">
        <v>2183.2634683872702</v>
      </c>
      <c r="V165">
        <v>-5.5835706055518096E-2</v>
      </c>
    </row>
    <row r="166" spans="1:22" x14ac:dyDescent="0.3">
      <c r="A166">
        <v>2153.2483540910202</v>
      </c>
      <c r="B166">
        <v>-1.06235431750456E-2</v>
      </c>
      <c r="C166">
        <v>2153.2483540910202</v>
      </c>
      <c r="D166">
        <v>-9.6169394079724108E-3</v>
      </c>
      <c r="G166" s="50">
        <v>2153.2483540910202</v>
      </c>
      <c r="H166">
        <v>-1.18934757086839E-2</v>
      </c>
      <c r="I166" s="50">
        <v>2153.2483540910202</v>
      </c>
      <c r="J166">
        <v>-7.1070509203873204E-3</v>
      </c>
      <c r="L166">
        <v>2153.2483540910202</v>
      </c>
      <c r="M166">
        <f t="shared" si="8"/>
        <v>0.99889342164382744</v>
      </c>
      <c r="N166">
        <f t="shared" si="9"/>
        <v>0.99918210518323336</v>
      </c>
      <c r="O166">
        <f t="shared" si="10"/>
        <v>0.99971108015455001</v>
      </c>
      <c r="P166">
        <f t="shared" si="11"/>
        <v>-2.5098884875850904E-3</v>
      </c>
      <c r="S166">
        <v>2153.2483540910202</v>
      </c>
      <c r="T166">
        <v>0</v>
      </c>
      <c r="U166">
        <v>2153.2483540910202</v>
      </c>
      <c r="V166">
        <v>-5.5127382902412599E-2</v>
      </c>
    </row>
    <row r="167" spans="1:22" x14ac:dyDescent="0.3">
      <c r="A167">
        <v>2123.6458821988094</v>
      </c>
      <c r="B167">
        <v>-1.0627021745761802E-2</v>
      </c>
      <c r="C167">
        <v>2123.6458821988094</v>
      </c>
      <c r="D167">
        <v>-9.6276141983535901E-3</v>
      </c>
      <c r="G167" s="50">
        <v>2123.6458821988094</v>
      </c>
      <c r="H167">
        <v>-1.1896926653834301E-2</v>
      </c>
      <c r="I167" s="50">
        <v>2123.6458821988094</v>
      </c>
      <c r="J167">
        <v>-7.1225231438960092E-3</v>
      </c>
      <c r="L167">
        <v>2123.6458821988094</v>
      </c>
      <c r="M167">
        <f t="shared" si="8"/>
        <v>0.99889219402388496</v>
      </c>
      <c r="N167">
        <f t="shared" si="9"/>
        <v>0.99918032533617895</v>
      </c>
      <c r="O167">
        <f t="shared" si="10"/>
        <v>0.99971163232002491</v>
      </c>
      <c r="P167">
        <f t="shared" si="11"/>
        <v>-2.5050910544575809E-3</v>
      </c>
      <c r="S167">
        <v>2123.6458821988094</v>
      </c>
      <c r="T167">
        <v>0</v>
      </c>
      <c r="U167">
        <v>2123.6458821988094</v>
      </c>
      <c r="V167">
        <v>-5.4216921537374681E-2</v>
      </c>
    </row>
    <row r="168" spans="1:22" x14ac:dyDescent="0.3">
      <c r="A168">
        <v>2094.4503797769094</v>
      </c>
      <c r="B168">
        <v>-1.0655742117684698E-2</v>
      </c>
      <c r="C168">
        <v>2094.4503797769094</v>
      </c>
      <c r="D168">
        <v>-9.6765678032026022E-3</v>
      </c>
      <c r="G168" s="50">
        <v>2094.4503797769094</v>
      </c>
      <c r="H168">
        <v>-1.1916796500580902E-2</v>
      </c>
      <c r="I168" s="50">
        <v>2094.4503797769094</v>
      </c>
      <c r="J168">
        <v>-7.144780164391849E-3</v>
      </c>
      <c r="L168">
        <v>2094.4503797769094</v>
      </c>
      <c r="M168">
        <f t="shared" si="8"/>
        <v>0.99888656429129663</v>
      </c>
      <c r="N168">
        <f t="shared" si="9"/>
        <v>0.99917776500564115</v>
      </c>
      <c r="O168">
        <f t="shared" si="10"/>
        <v>0.9997085596532036</v>
      </c>
      <c r="P168">
        <f t="shared" si="11"/>
        <v>-2.5317876388107532E-3</v>
      </c>
      <c r="S168">
        <v>2094.4503797769094</v>
      </c>
      <c r="T168">
        <v>0</v>
      </c>
      <c r="U168">
        <v>2094.4503797769094</v>
      </c>
      <c r="V168">
        <v>-5.3716967898537901E-2</v>
      </c>
    </row>
    <row r="169" spans="1:22" x14ac:dyDescent="0.3">
      <c r="A169">
        <v>2065.6562518820901</v>
      </c>
      <c r="B169">
        <v>-1.0661684285157602E-2</v>
      </c>
      <c r="C169">
        <v>2065.6562518820901</v>
      </c>
      <c r="D169">
        <v>-9.6846976861819315E-3</v>
      </c>
      <c r="G169" s="50">
        <v>2065.6562518820901</v>
      </c>
      <c r="H169">
        <v>-1.19244058658717E-2</v>
      </c>
      <c r="I169" s="50">
        <v>2065.6562518820901</v>
      </c>
      <c r="J169">
        <v>-7.1534003554939588E-3</v>
      </c>
      <c r="L169">
        <v>2065.6562518820901</v>
      </c>
      <c r="M169">
        <f t="shared" si="8"/>
        <v>0.99888562934652803</v>
      </c>
      <c r="N169">
        <f t="shared" si="9"/>
        <v>0.99917677338597244</v>
      </c>
      <c r="O169">
        <f t="shared" si="10"/>
        <v>0.99970861608556227</v>
      </c>
      <c r="P169">
        <f t="shared" si="11"/>
        <v>-2.5312973306879727E-3</v>
      </c>
      <c r="S169">
        <v>2065.6562518820901</v>
      </c>
      <c r="T169">
        <v>0</v>
      </c>
      <c r="U169">
        <v>2065.6562518820901</v>
      </c>
      <c r="V169">
        <v>-5.2808427467141407E-2</v>
      </c>
    </row>
    <row r="170" spans="1:22" x14ac:dyDescent="0.3">
      <c r="A170">
        <v>2037.2579804894101</v>
      </c>
      <c r="B170">
        <v>-1.0675920480672898E-2</v>
      </c>
      <c r="C170">
        <v>2037.2579804894101</v>
      </c>
      <c r="D170">
        <v>-9.6950964349698243E-3</v>
      </c>
      <c r="G170" s="50">
        <v>2037.2579804894101</v>
      </c>
      <c r="H170">
        <v>-1.1927633434576299E-2</v>
      </c>
      <c r="I170" s="50">
        <v>2037.2579804894101</v>
      </c>
      <c r="J170">
        <v>-7.1564518474133707E-3</v>
      </c>
      <c r="L170">
        <v>2037.2579804894101</v>
      </c>
      <c r="M170">
        <f t="shared" si="8"/>
        <v>0.9988844334811714</v>
      </c>
      <c r="N170">
        <f t="shared" si="9"/>
        <v>0.99917642235925663</v>
      </c>
      <c r="O170">
        <f t="shared" si="10"/>
        <v>0.99970777044818993</v>
      </c>
      <c r="P170">
        <f t="shared" si="11"/>
        <v>-2.5386445875564536E-3</v>
      </c>
      <c r="S170">
        <v>2037.2579804894101</v>
      </c>
      <c r="T170">
        <v>0</v>
      </c>
      <c r="U170">
        <v>2037.2579804894101</v>
      </c>
      <c r="V170">
        <v>-5.2395793356538399E-2</v>
      </c>
    </row>
    <row r="171" spans="1:22" x14ac:dyDescent="0.3">
      <c r="A171">
        <v>2009.2501234347201</v>
      </c>
      <c r="B171">
        <v>-1.0672619449340802E-2</v>
      </c>
      <c r="C171">
        <v>2009.2501234347201</v>
      </c>
      <c r="D171">
        <v>-9.6905146609574597E-3</v>
      </c>
      <c r="G171" s="50">
        <v>2009.2501234347201</v>
      </c>
      <c r="H171">
        <v>-1.1954264240723E-2</v>
      </c>
      <c r="I171" s="50">
        <v>2009.2501234347201</v>
      </c>
      <c r="J171">
        <v>-7.1808682421047E-3</v>
      </c>
      <c r="L171">
        <v>2009.2501234347201</v>
      </c>
      <c r="M171">
        <f t="shared" si="8"/>
        <v>0.99888496038908026</v>
      </c>
      <c r="N171">
        <f t="shared" si="9"/>
        <v>0.99917361363699297</v>
      </c>
      <c r="O171">
        <f t="shared" si="10"/>
        <v>0.99971110801569107</v>
      </c>
      <c r="P171">
        <f t="shared" si="11"/>
        <v>-2.5096464188527597E-3</v>
      </c>
      <c r="S171">
        <v>2009.2501234347201</v>
      </c>
      <c r="T171">
        <v>0</v>
      </c>
      <c r="U171">
        <v>2009.2501234347201</v>
      </c>
      <c r="V171">
        <v>-5.1782445844821702E-2</v>
      </c>
    </row>
    <row r="172" spans="1:22" x14ac:dyDescent="0.3">
      <c r="A172">
        <v>1981.62731337177</v>
      </c>
      <c r="B172">
        <v>-1.0695877323900496E-2</v>
      </c>
      <c r="C172">
        <v>1981.62731337177</v>
      </c>
      <c r="D172">
        <v>-9.6926470292120082E-3</v>
      </c>
      <c r="G172" s="50">
        <v>1981.62731337177</v>
      </c>
      <c r="H172">
        <v>-1.1961032729224198E-2</v>
      </c>
      <c r="I172" s="50">
        <v>1981.62731337177</v>
      </c>
      <c r="J172">
        <v>-7.1729053470335003E-3</v>
      </c>
      <c r="L172">
        <v>1981.62731337177</v>
      </c>
      <c r="M172">
        <f t="shared" si="8"/>
        <v>0.99888471516488264</v>
      </c>
      <c r="N172">
        <f t="shared" si="9"/>
        <v>0.9991745296419875</v>
      </c>
      <c r="O172">
        <f t="shared" si="10"/>
        <v>0.99970994609199182</v>
      </c>
      <c r="P172">
        <f t="shared" si="11"/>
        <v>-2.5197416821785079E-3</v>
      </c>
      <c r="S172">
        <v>1981.62731337177</v>
      </c>
      <c r="T172">
        <v>0</v>
      </c>
      <c r="U172">
        <v>1981.62731337177</v>
      </c>
      <c r="V172">
        <v>-5.0435920036363803E-2</v>
      </c>
    </row>
    <row r="173" spans="1:22" x14ac:dyDescent="0.3">
      <c r="A173">
        <v>1954.3842567436295</v>
      </c>
      <c r="B173">
        <v>-1.0706962523415599E-2</v>
      </c>
      <c r="C173">
        <v>1954.3842567436295</v>
      </c>
      <c r="D173">
        <v>-9.7172926095486396E-3</v>
      </c>
      <c r="G173" s="50">
        <v>1954.3842567436295</v>
      </c>
      <c r="H173">
        <v>-1.1957299497597803E-2</v>
      </c>
      <c r="I173" s="50">
        <v>1954.3842567436295</v>
      </c>
      <c r="J173">
        <v>-7.20506111314222E-3</v>
      </c>
      <c r="L173">
        <v>1954.3842567436295</v>
      </c>
      <c r="M173">
        <f t="shared" si="8"/>
        <v>0.99888188090614849</v>
      </c>
      <c r="N173">
        <f t="shared" si="9"/>
        <v>0.99917083063539824</v>
      </c>
      <c r="O173">
        <f t="shared" si="10"/>
        <v>0.99971081048366273</v>
      </c>
      <c r="P173">
        <f t="shared" si="11"/>
        <v>-2.5122314964064196E-3</v>
      </c>
      <c r="S173">
        <v>1954.3842567436295</v>
      </c>
      <c r="T173">
        <v>0</v>
      </c>
      <c r="U173">
        <v>1954.3842567436295</v>
      </c>
      <c r="V173">
        <v>-5.0184222200869003E-2</v>
      </c>
    </row>
    <row r="174" spans="1:22" x14ac:dyDescent="0.3">
      <c r="A174">
        <v>1927.51573276825</v>
      </c>
      <c r="B174">
        <v>-1.0692450960254498E-2</v>
      </c>
      <c r="C174">
        <v>1927.51573276825</v>
      </c>
      <c r="D174">
        <v>-9.7187079323877001E-3</v>
      </c>
      <c r="G174" s="50">
        <v>1927.51573276825</v>
      </c>
      <c r="H174">
        <v>-1.19915021448544E-2</v>
      </c>
      <c r="I174" s="50">
        <v>1927.51573276825</v>
      </c>
      <c r="J174">
        <v>-7.2125200935484017E-3</v>
      </c>
      <c r="L174">
        <v>1927.51573276825</v>
      </c>
      <c r="M174">
        <f t="shared" si="8"/>
        <v>0.9988817181432903</v>
      </c>
      <c r="N174">
        <f t="shared" si="9"/>
        <v>0.99916997260095874</v>
      </c>
      <c r="O174">
        <f t="shared" si="10"/>
        <v>0.99971150608447723</v>
      </c>
      <c r="P174">
        <f t="shared" si="11"/>
        <v>-2.5061878388392984E-3</v>
      </c>
      <c r="S174">
        <v>1927.51573276825</v>
      </c>
      <c r="T174">
        <v>0</v>
      </c>
      <c r="U174">
        <v>1927.51573276825</v>
      </c>
      <c r="V174">
        <v>-4.9392250426535604E-2</v>
      </c>
    </row>
    <row r="175" spans="1:22" x14ac:dyDescent="0.3">
      <c r="A175">
        <v>1901.0165924379298</v>
      </c>
      <c r="B175">
        <v>-1.0706444199056499E-2</v>
      </c>
      <c r="C175">
        <v>1901.0165924379298</v>
      </c>
      <c r="D175">
        <v>-9.7206838269026097E-3</v>
      </c>
      <c r="G175" s="50">
        <v>1901.0165924379298</v>
      </c>
      <c r="H175">
        <v>-1.19795135163723E-2</v>
      </c>
      <c r="I175" s="50">
        <v>1901.0165924379298</v>
      </c>
      <c r="J175">
        <v>-7.1956707086817404E-3</v>
      </c>
      <c r="L175">
        <v>1901.0165924379298</v>
      </c>
      <c r="M175">
        <f t="shared" si="8"/>
        <v>0.99888149091444389</v>
      </c>
      <c r="N175">
        <f t="shared" si="9"/>
        <v>0.99917191084982515</v>
      </c>
      <c r="O175">
        <f t="shared" si="10"/>
        <v>0.99970933937170603</v>
      </c>
      <c r="P175">
        <f t="shared" si="11"/>
        <v>-2.5250131182208693E-3</v>
      </c>
      <c r="S175">
        <v>1901.0165924379298</v>
      </c>
      <c r="T175">
        <v>0</v>
      </c>
      <c r="U175">
        <v>1901.0165924379298</v>
      </c>
      <c r="V175">
        <v>-4.8410199286991001E-2</v>
      </c>
    </row>
    <row r="176" spans="1:22" x14ac:dyDescent="0.3">
      <c r="A176">
        <v>1874.8817575326298</v>
      </c>
      <c r="B176">
        <v>-1.07146339038105E-2</v>
      </c>
      <c r="C176">
        <v>1874.8817575326298</v>
      </c>
      <c r="D176">
        <v>-9.7420275515079369E-3</v>
      </c>
      <c r="G176" s="50">
        <v>1874.8817575326298</v>
      </c>
      <c r="H176">
        <v>-1.1988115123062802E-2</v>
      </c>
      <c r="I176" s="50">
        <v>1874.8817575326298</v>
      </c>
      <c r="J176">
        <v>-7.2028099130522702E-3</v>
      </c>
      <c r="L176">
        <v>1874.8817575326298</v>
      </c>
      <c r="M176">
        <f t="shared" si="8"/>
        <v>0.99887903637885223</v>
      </c>
      <c r="N176">
        <f t="shared" si="9"/>
        <v>0.99917108959951706</v>
      </c>
      <c r="O176">
        <f t="shared" si="10"/>
        <v>0.99970770449254898</v>
      </c>
      <c r="P176">
        <f t="shared" si="11"/>
        <v>-2.5392176384556667E-3</v>
      </c>
      <c r="S176">
        <v>1874.8817575326298</v>
      </c>
      <c r="T176">
        <v>0</v>
      </c>
      <c r="U176">
        <v>1874.8817575326298</v>
      </c>
      <c r="V176">
        <v>-4.7860662511709499E-2</v>
      </c>
    </row>
    <row r="177" spans="1:22" x14ac:dyDescent="0.3">
      <c r="A177">
        <v>1849.1062196467501</v>
      </c>
      <c r="B177">
        <v>-1.0702409894210301E-2</v>
      </c>
      <c r="C177">
        <v>1849.1062196467501</v>
      </c>
      <c r="D177">
        <v>-9.754879137856819E-3</v>
      </c>
      <c r="G177" s="50">
        <v>1849.1062196467501</v>
      </c>
      <c r="H177">
        <v>-1.2029832997571903E-2</v>
      </c>
      <c r="I177" s="50">
        <v>1849.1062196467501</v>
      </c>
      <c r="J177">
        <v>-7.2454137078274399E-3</v>
      </c>
      <c r="L177">
        <v>1849.1062196467501</v>
      </c>
      <c r="M177">
        <f t="shared" si="8"/>
        <v>0.99887755844495874</v>
      </c>
      <c r="N177">
        <f t="shared" si="9"/>
        <v>0.99916618873415686</v>
      </c>
      <c r="O177">
        <f t="shared" si="10"/>
        <v>0.99971112884677993</v>
      </c>
      <c r="P177">
        <f t="shared" si="11"/>
        <v>-2.5094654300293791E-3</v>
      </c>
      <c r="S177">
        <v>1849.1062196467501</v>
      </c>
      <c r="T177">
        <v>0</v>
      </c>
      <c r="U177">
        <v>1849.1062196467501</v>
      </c>
      <c r="V177">
        <v>-4.7380400133363303E-2</v>
      </c>
    </row>
    <row r="178" spans="1:22" x14ac:dyDescent="0.3">
      <c r="A178">
        <v>1823.6850392293402</v>
      </c>
      <c r="B178">
        <v>-1.06870814364338E-2</v>
      </c>
      <c r="C178">
        <v>1823.6850392293402</v>
      </c>
      <c r="D178">
        <v>-9.7486292028842216E-3</v>
      </c>
      <c r="G178" s="50">
        <v>1823.6850392293402</v>
      </c>
      <c r="H178">
        <v>-1.2015987855396801E-2</v>
      </c>
      <c r="I178" s="50">
        <v>1823.6850392293402</v>
      </c>
      <c r="J178">
        <v>-7.2268792213298193E-3</v>
      </c>
      <c r="L178">
        <v>1823.6850392293402</v>
      </c>
      <c r="M178">
        <f t="shared" si="8"/>
        <v>0.99887827718791899</v>
      </c>
      <c r="N178">
        <f t="shared" si="9"/>
        <v>0.99916832081880957</v>
      </c>
      <c r="O178">
        <f t="shared" si="10"/>
        <v>0.99970971494507266</v>
      </c>
      <c r="P178">
        <f t="shared" si="11"/>
        <v>-2.5217499815544022E-3</v>
      </c>
      <c r="S178">
        <v>1823.6850392293402</v>
      </c>
      <c r="T178">
        <v>0</v>
      </c>
      <c r="U178">
        <v>1823.6850392293402</v>
      </c>
      <c r="V178">
        <v>-4.6356015997503199E-2</v>
      </c>
    </row>
    <row r="179" spans="1:22" x14ac:dyDescent="0.3">
      <c r="A179">
        <v>1798.61334463755</v>
      </c>
      <c r="B179">
        <v>-1.0729779223739001E-2</v>
      </c>
      <c r="C179">
        <v>1798.61334463755</v>
      </c>
      <c r="D179">
        <v>-9.781390681789584E-3</v>
      </c>
      <c r="G179" s="50">
        <v>1798.61334463755</v>
      </c>
      <c r="H179">
        <v>-1.20486349475218E-2</v>
      </c>
      <c r="I179" s="50">
        <v>1798.61334463755</v>
      </c>
      <c r="J179">
        <v>-7.2295872234576387E-3</v>
      </c>
      <c r="L179">
        <v>1798.61334463755</v>
      </c>
      <c r="M179">
        <f t="shared" si="8"/>
        <v>0.99887450962129609</v>
      </c>
      <c r="N179">
        <f t="shared" si="9"/>
        <v>0.9991680093078843</v>
      </c>
      <c r="O179">
        <f t="shared" si="10"/>
        <v>0.99970625592107232</v>
      </c>
      <c r="P179">
        <f t="shared" si="11"/>
        <v>-2.5518034583319454E-3</v>
      </c>
      <c r="S179">
        <v>1798.61334463755</v>
      </c>
      <c r="T179">
        <v>0</v>
      </c>
      <c r="U179">
        <v>1798.61334463755</v>
      </c>
      <c r="V179">
        <v>-4.5585742760749788E-2</v>
      </c>
    </row>
    <row r="180" spans="1:22" x14ac:dyDescent="0.3">
      <c r="A180">
        <v>1773.8863312029698</v>
      </c>
      <c r="B180">
        <v>-1.07337956027014E-2</v>
      </c>
      <c r="C180">
        <v>1773.8863312029698</v>
      </c>
      <c r="D180">
        <v>-9.779141192459569E-3</v>
      </c>
      <c r="G180" s="50">
        <v>1773.8863312029698</v>
      </c>
      <c r="H180">
        <v>-1.2047383122628E-2</v>
      </c>
      <c r="I180" s="50">
        <v>1773.8863312029698</v>
      </c>
      <c r="J180">
        <v>-7.234456004192381E-3</v>
      </c>
      <c r="L180">
        <v>1773.8863312029698</v>
      </c>
      <c r="M180">
        <f t="shared" si="8"/>
        <v>0.99887476831187771</v>
      </c>
      <c r="N180">
        <f t="shared" si="9"/>
        <v>0.99916744923530765</v>
      </c>
      <c r="O180">
        <f t="shared" si="10"/>
        <v>0.99970707520180535</v>
      </c>
      <c r="P180">
        <f t="shared" si="11"/>
        <v>-2.544685188267188E-3</v>
      </c>
      <c r="S180">
        <v>1773.8863312029698</v>
      </c>
      <c r="T180">
        <v>0</v>
      </c>
      <c r="U180">
        <v>1773.8863312029698</v>
      </c>
      <c r="V180">
        <v>-4.5470981025914597E-2</v>
      </c>
    </row>
    <row r="181" spans="1:22" x14ac:dyDescent="0.3">
      <c r="A181">
        <v>1749.4992603109099</v>
      </c>
      <c r="B181">
        <v>-1.07522593287904E-2</v>
      </c>
      <c r="C181">
        <v>1749.4992603109099</v>
      </c>
      <c r="D181">
        <v>-9.7908999212225206E-3</v>
      </c>
      <c r="G181" s="50">
        <v>1749.4992603109099</v>
      </c>
      <c r="H181">
        <v>-1.2060241426390301E-2</v>
      </c>
      <c r="I181" s="50">
        <v>1749.4992603109099</v>
      </c>
      <c r="J181">
        <v>-7.2413319152912882E-3</v>
      </c>
      <c r="L181">
        <v>1749.4992603109099</v>
      </c>
      <c r="M181">
        <f t="shared" si="8"/>
        <v>0.99887341606242408</v>
      </c>
      <c r="N181">
        <f t="shared" si="9"/>
        <v>0.99916665827616358</v>
      </c>
      <c r="O181">
        <f t="shared" si="10"/>
        <v>0.99970651321147419</v>
      </c>
      <c r="P181">
        <f t="shared" si="11"/>
        <v>-2.5495680059312324E-3</v>
      </c>
      <c r="S181">
        <v>1749.4992603109099</v>
      </c>
      <c r="T181">
        <v>0</v>
      </c>
      <c r="U181">
        <v>1749.4992603109099</v>
      </c>
      <c r="V181">
        <v>-4.4919134608505801E-2</v>
      </c>
    </row>
    <row r="182" spans="1:22" x14ac:dyDescent="0.3">
      <c r="A182">
        <v>1725.44745849232</v>
      </c>
      <c r="B182">
        <v>-1.0722225803461801E-2</v>
      </c>
      <c r="C182">
        <v>1725.44745849232</v>
      </c>
      <c r="D182">
        <v>-9.7992188282843059E-3</v>
      </c>
      <c r="G182" s="50">
        <v>1725.44745849232</v>
      </c>
      <c r="H182">
        <v>-1.2067961936375E-2</v>
      </c>
      <c r="I182" s="50">
        <v>1725.44745849232</v>
      </c>
      <c r="J182">
        <v>-7.2467277595382783E-3</v>
      </c>
      <c r="L182">
        <v>1725.44745849232</v>
      </c>
      <c r="M182">
        <f t="shared" si="8"/>
        <v>0.99887245939229785</v>
      </c>
      <c r="N182">
        <f t="shared" si="9"/>
        <v>0.99916603757451816</v>
      </c>
      <c r="O182">
        <f t="shared" si="10"/>
        <v>0.99970617678025464</v>
      </c>
      <c r="P182">
        <f t="shared" si="11"/>
        <v>-2.5524910687460276E-3</v>
      </c>
      <c r="S182">
        <v>1725.44745849232</v>
      </c>
      <c r="T182">
        <v>0</v>
      </c>
      <c r="U182">
        <v>1725.44745849232</v>
      </c>
      <c r="V182">
        <v>-4.4384739003078301E-2</v>
      </c>
    </row>
    <row r="183" spans="1:22" x14ac:dyDescent="0.3">
      <c r="A183">
        <v>1701.7263165281402</v>
      </c>
      <c r="B183">
        <v>-1.0748954459345601E-2</v>
      </c>
      <c r="C183">
        <v>1701.7263165281402</v>
      </c>
      <c r="D183">
        <v>-9.8385579688368106E-3</v>
      </c>
      <c r="G183" s="50">
        <v>1701.7263165281402</v>
      </c>
      <c r="H183">
        <v>-1.2073738625776299E-2</v>
      </c>
      <c r="I183" s="50">
        <v>1701.7263165281402</v>
      </c>
      <c r="J183">
        <v>-7.2455306312949217E-3</v>
      </c>
      <c r="L183">
        <v>1701.7263165281402</v>
      </c>
      <c r="M183">
        <f t="shared" si="8"/>
        <v>0.9988679354233404</v>
      </c>
      <c r="N183">
        <f t="shared" si="9"/>
        <v>0.99916617528406948</v>
      </c>
      <c r="O183">
        <f t="shared" si="10"/>
        <v>0.99970151125197537</v>
      </c>
      <c r="P183">
        <f t="shared" si="11"/>
        <v>-2.5930273375418889E-3</v>
      </c>
      <c r="S183">
        <v>1701.7263165281402</v>
      </c>
      <c r="T183">
        <v>0</v>
      </c>
      <c r="U183">
        <v>1701.7263165281402</v>
      </c>
      <c r="V183">
        <v>-4.3537942038085503E-2</v>
      </c>
    </row>
    <row r="184" spans="1:22" x14ac:dyDescent="0.3">
      <c r="A184">
        <v>1678.3312885660603</v>
      </c>
      <c r="B184">
        <v>-1.0758780172966099E-2</v>
      </c>
      <c r="C184">
        <v>1678.3312885660603</v>
      </c>
      <c r="D184">
        <v>-9.8740940169485501E-3</v>
      </c>
      <c r="G184" s="50">
        <v>1678.3312885660603</v>
      </c>
      <c r="H184">
        <v>-1.2096883839153798E-2</v>
      </c>
      <c r="I184" s="50">
        <v>1678.3312885660603</v>
      </c>
      <c r="J184">
        <v>-7.2705681773447871E-3</v>
      </c>
      <c r="L184">
        <v>1678.3312885660603</v>
      </c>
      <c r="M184">
        <f t="shared" si="8"/>
        <v>0.99886384882451418</v>
      </c>
      <c r="N184">
        <f t="shared" si="9"/>
        <v>0.99916329513775048</v>
      </c>
      <c r="O184">
        <f t="shared" si="10"/>
        <v>0.99970030292876699</v>
      </c>
      <c r="P184">
        <f t="shared" si="11"/>
        <v>-2.603525839603763E-3</v>
      </c>
      <c r="S184">
        <v>1678.3312885660603</v>
      </c>
      <c r="T184">
        <v>0</v>
      </c>
      <c r="U184">
        <v>1678.3312885660603</v>
      </c>
      <c r="V184">
        <v>-4.3136070790637901E-2</v>
      </c>
    </row>
    <row r="185" spans="1:22" x14ac:dyDescent="0.3">
      <c r="A185">
        <v>1655.2578912492997</v>
      </c>
      <c r="B185">
        <v>-1.0748706510652002E-2</v>
      </c>
      <c r="C185">
        <v>1655.2578912492997</v>
      </c>
      <c r="D185">
        <v>-9.8483182130347999E-3</v>
      </c>
      <c r="G185" s="50">
        <v>1655.2578912492997</v>
      </c>
      <c r="H185">
        <v>-1.2087460665478E-2</v>
      </c>
      <c r="I185" s="50">
        <v>1655.2578912492997</v>
      </c>
      <c r="J185">
        <v>-7.2678582904013404E-3</v>
      </c>
      <c r="L185">
        <v>1655.2578912492997</v>
      </c>
      <c r="M185">
        <f t="shared" si="8"/>
        <v>0.99886681300642077</v>
      </c>
      <c r="N185">
        <f t="shared" si="9"/>
        <v>0.99916360686402172</v>
      </c>
      <c r="O185">
        <f t="shared" si="10"/>
        <v>0.99970295769825679</v>
      </c>
      <c r="P185">
        <f t="shared" si="11"/>
        <v>-2.5804599226334594E-3</v>
      </c>
      <c r="S185">
        <v>1655.2578912492997</v>
      </c>
      <c r="T185">
        <v>0</v>
      </c>
      <c r="U185">
        <v>1655.2578912492997</v>
      </c>
      <c r="V185">
        <v>-4.2373005121078215E-2</v>
      </c>
    </row>
    <row r="186" spans="1:22" x14ac:dyDescent="0.3">
      <c r="A186">
        <v>1632.50170285747</v>
      </c>
      <c r="B186">
        <v>-1.0751536975180999E-2</v>
      </c>
      <c r="C186">
        <v>1632.50170285747</v>
      </c>
      <c r="D186">
        <v>-9.8367991574942262E-3</v>
      </c>
      <c r="G186" s="50">
        <v>1632.50170285747</v>
      </c>
      <c r="H186">
        <v>-1.20996580189816E-2</v>
      </c>
      <c r="I186" s="50">
        <v>1632.50170285747</v>
      </c>
      <c r="J186">
        <v>-7.262722198392667E-3</v>
      </c>
      <c r="L186">
        <v>1632.50170285747</v>
      </c>
      <c r="M186">
        <f t="shared" si="8"/>
        <v>0.99886813768476734</v>
      </c>
      <c r="N186">
        <f t="shared" si="9"/>
        <v>0.99916419768406983</v>
      </c>
      <c r="O186">
        <f t="shared" si="10"/>
        <v>0.99970369234607415</v>
      </c>
      <c r="P186">
        <f t="shared" si="11"/>
        <v>-2.5740769591015593E-3</v>
      </c>
      <c r="S186">
        <v>1632.50170285747</v>
      </c>
      <c r="T186">
        <v>0</v>
      </c>
      <c r="U186">
        <v>1632.50170285747</v>
      </c>
      <c r="V186">
        <v>-4.1897042715220316E-2</v>
      </c>
    </row>
    <row r="187" spans="1:22" x14ac:dyDescent="0.3">
      <c r="A187">
        <v>1610.0583624592198</v>
      </c>
      <c r="B187">
        <v>-1.07611865089038E-2</v>
      </c>
      <c r="C187">
        <v>1610.0583624592198</v>
      </c>
      <c r="D187">
        <v>-9.8531088330298874E-3</v>
      </c>
      <c r="G187" s="50">
        <v>1610.0583624592198</v>
      </c>
      <c r="H187">
        <v>-1.2109833243654899E-2</v>
      </c>
      <c r="I187" s="50">
        <v>1610.0583624592198</v>
      </c>
      <c r="J187">
        <v>-7.2726958260239619E-3</v>
      </c>
      <c r="L187">
        <v>1610.0583624592198</v>
      </c>
      <c r="M187">
        <f t="shared" si="8"/>
        <v>0.99886626209106177</v>
      </c>
      <c r="N187">
        <f t="shared" si="9"/>
        <v>0.99916305038812836</v>
      </c>
      <c r="O187">
        <f t="shared" si="10"/>
        <v>0.99970296309801354</v>
      </c>
      <c r="P187">
        <f t="shared" si="11"/>
        <v>-2.5804130070059255E-3</v>
      </c>
      <c r="S187">
        <v>1610.0583624592198</v>
      </c>
      <c r="T187">
        <v>0</v>
      </c>
      <c r="U187">
        <v>1610.0583624592198</v>
      </c>
      <c r="V187">
        <v>-4.1114888736387904E-2</v>
      </c>
    </row>
    <row r="188" spans="1:22" x14ac:dyDescent="0.3">
      <c r="A188">
        <v>1587.9235690764799</v>
      </c>
      <c r="B188">
        <v>-1.07644476135634E-2</v>
      </c>
      <c r="C188">
        <v>1587.9235690764799</v>
      </c>
      <c r="D188">
        <v>-9.8682241675143011E-3</v>
      </c>
      <c r="G188" s="50">
        <v>1587.9235690764799</v>
      </c>
      <c r="H188">
        <v>-1.2130117410074E-2</v>
      </c>
      <c r="I188" s="50">
        <v>1587.9235690764799</v>
      </c>
      <c r="J188">
        <v>-7.2940126046093694E-3</v>
      </c>
      <c r="L188">
        <v>1587.9235690764799</v>
      </c>
      <c r="M188">
        <f t="shared" si="8"/>
        <v>0.99886452384833135</v>
      </c>
      <c r="N188">
        <f t="shared" si="9"/>
        <v>0.99916059826033643</v>
      </c>
      <c r="O188">
        <f t="shared" si="10"/>
        <v>0.99970367685383055</v>
      </c>
      <c r="P188">
        <f t="shared" si="11"/>
        <v>-2.5742115629049317E-3</v>
      </c>
      <c r="S188">
        <v>1587.9235690764799</v>
      </c>
      <c r="T188">
        <v>0</v>
      </c>
      <c r="U188">
        <v>1587.9235690764799</v>
      </c>
      <c r="V188">
        <v>-4.0586938545288803E-2</v>
      </c>
    </row>
    <row r="189" spans="1:22" x14ac:dyDescent="0.3">
      <c r="A189">
        <v>1566.0930808602598</v>
      </c>
      <c r="B189">
        <v>-1.07659526161984E-2</v>
      </c>
      <c r="C189">
        <v>1566.0930808602598</v>
      </c>
      <c r="D189">
        <v>-9.8607628550473406E-3</v>
      </c>
      <c r="G189" s="50">
        <v>1566.0930808602598</v>
      </c>
      <c r="H189">
        <v>-1.21241019001238E-2</v>
      </c>
      <c r="I189" s="50">
        <v>1566.0930808602598</v>
      </c>
      <c r="J189">
        <v>-7.2754936557645512E-3</v>
      </c>
      <c r="L189">
        <v>1566.0930808602598</v>
      </c>
      <c r="M189">
        <f t="shared" si="8"/>
        <v>0.9988653818886517</v>
      </c>
      <c r="N189">
        <f t="shared" si="9"/>
        <v>0.99916272854571919</v>
      </c>
      <c r="O189">
        <f t="shared" si="10"/>
        <v>0.99970240417444289</v>
      </c>
      <c r="P189">
        <f t="shared" si="11"/>
        <v>-2.5852691992827893E-3</v>
      </c>
      <c r="S189">
        <v>1566.0930808602598</v>
      </c>
      <c r="T189">
        <v>0</v>
      </c>
      <c r="U189">
        <v>1566.0930808602598</v>
      </c>
      <c r="V189">
        <v>-4.0322285388242597E-2</v>
      </c>
    </row>
    <row r="190" spans="1:22" x14ac:dyDescent="0.3">
      <c r="A190">
        <v>1544.56271427775</v>
      </c>
      <c r="B190">
        <v>-1.07828581272641E-2</v>
      </c>
      <c r="C190">
        <v>1544.56271427775</v>
      </c>
      <c r="D190">
        <v>-9.8807327142768006E-3</v>
      </c>
      <c r="G190" s="50">
        <v>1544.56271427775</v>
      </c>
      <c r="H190">
        <v>-1.21302311089426E-2</v>
      </c>
      <c r="I190" s="50">
        <v>1544.56271427775</v>
      </c>
      <c r="J190">
        <v>-7.2904143025744987E-3</v>
      </c>
      <c r="L190">
        <v>1544.56271427775</v>
      </c>
      <c r="M190">
        <f t="shared" si="8"/>
        <v>0.99886308538490054</v>
      </c>
      <c r="N190">
        <f t="shared" si="9"/>
        <v>0.99916101218251463</v>
      </c>
      <c r="O190">
        <f t="shared" si="10"/>
        <v>0.99970182303554522</v>
      </c>
      <c r="P190">
        <f t="shared" si="11"/>
        <v>-2.5903184117023019E-3</v>
      </c>
      <c r="S190">
        <v>1544.56271427775</v>
      </c>
      <c r="T190">
        <v>0</v>
      </c>
      <c r="U190">
        <v>1544.56271427775</v>
      </c>
      <c r="V190">
        <v>-3.9317677350709297E-2</v>
      </c>
    </row>
    <row r="191" spans="1:22" x14ac:dyDescent="0.3">
      <c r="A191">
        <v>1523.3283433106001</v>
      </c>
      <c r="B191">
        <v>-1.0760667102440401E-2</v>
      </c>
      <c r="C191">
        <v>1523.3283433106001</v>
      </c>
      <c r="D191">
        <v>-9.8680223467385603E-3</v>
      </c>
      <c r="G191" s="50">
        <v>1523.3283433106001</v>
      </c>
      <c r="H191">
        <v>-1.2162847810740601E-2</v>
      </c>
      <c r="I191" s="50">
        <v>1523.3283433106001</v>
      </c>
      <c r="J191">
        <v>-7.3041170480020482E-3</v>
      </c>
      <c r="L191">
        <v>1523.3283433106001</v>
      </c>
      <c r="M191">
        <f t="shared" si="8"/>
        <v>0.99886454705742389</v>
      </c>
      <c r="N191">
        <f t="shared" si="9"/>
        <v>0.99915943592046641</v>
      </c>
      <c r="O191">
        <f t="shared" si="10"/>
        <v>0.99970486305544337</v>
      </c>
      <c r="P191">
        <f t="shared" si="11"/>
        <v>-2.5639052987365121E-3</v>
      </c>
      <c r="S191">
        <v>1523.3283433106001</v>
      </c>
      <c r="T191">
        <v>0</v>
      </c>
      <c r="U191">
        <v>1523.3283433106001</v>
      </c>
      <c r="V191">
        <v>-3.9102461906111295E-2</v>
      </c>
    </row>
    <row r="192" spans="1:22" x14ac:dyDescent="0.3">
      <c r="A192">
        <v>1502.3858986642199</v>
      </c>
      <c r="B192">
        <v>-1.07650217307508E-2</v>
      </c>
      <c r="C192">
        <v>1502.3858986642199</v>
      </c>
      <c r="D192">
        <v>-9.8935935311327983E-3</v>
      </c>
      <c r="G192" s="50">
        <v>1502.3858986642199</v>
      </c>
      <c r="H192">
        <v>-1.21524942589584E-2</v>
      </c>
      <c r="I192" s="50">
        <v>1502.3858986642199</v>
      </c>
      <c r="J192">
        <v>-7.2941127689223392E-3</v>
      </c>
      <c r="L192">
        <v>1502.3858986642199</v>
      </c>
      <c r="M192">
        <f t="shared" si="8"/>
        <v>0.9988616064131165</v>
      </c>
      <c r="N192">
        <f t="shared" si="9"/>
        <v>0.99916058673817376</v>
      </c>
      <c r="O192">
        <f t="shared" si="10"/>
        <v>0.99970076849604994</v>
      </c>
      <c r="P192">
        <f t="shared" si="11"/>
        <v>-2.5994807622104592E-3</v>
      </c>
      <c r="S192">
        <v>1502.3858986642199</v>
      </c>
      <c r="T192">
        <v>0</v>
      </c>
      <c r="U192">
        <v>1502.3858986642199</v>
      </c>
      <c r="V192">
        <v>-3.8920559915140991E-2</v>
      </c>
    </row>
    <row r="193" spans="1:22" x14ac:dyDescent="0.3">
      <c r="A193">
        <v>1481.7313669879397</v>
      </c>
      <c r="B193">
        <v>-1.0796871837082498E-2</v>
      </c>
      <c r="C193">
        <v>1481.7313669879397</v>
      </c>
      <c r="D193">
        <v>-9.9055571518110591E-3</v>
      </c>
      <c r="G193" s="50">
        <v>1481.7313669879397</v>
      </c>
      <c r="H193">
        <v>-1.21552565807054E-2</v>
      </c>
      <c r="I193" s="50">
        <v>1481.7313669879397</v>
      </c>
      <c r="J193">
        <v>-7.3162337893927362E-3</v>
      </c>
      <c r="L193">
        <v>1481.7313669879397</v>
      </c>
      <c r="M193">
        <f t="shared" si="8"/>
        <v>0.99886023061931328</v>
      </c>
      <c r="N193">
        <f t="shared" si="9"/>
        <v>0.99915804210261305</v>
      </c>
      <c r="O193">
        <f t="shared" si="10"/>
        <v>0.99970193756067549</v>
      </c>
      <c r="P193">
        <f t="shared" si="11"/>
        <v>-2.5893233624183229E-3</v>
      </c>
      <c r="S193">
        <v>1481.7313669879397</v>
      </c>
      <c r="T193">
        <v>0</v>
      </c>
      <c r="U193">
        <v>1481.7313669879397</v>
      </c>
      <c r="V193">
        <v>-3.7966940482647295E-2</v>
      </c>
    </row>
    <row r="194" spans="1:22" x14ac:dyDescent="0.3">
      <c r="A194">
        <v>1461.3607901059199</v>
      </c>
      <c r="B194">
        <v>-1.0776461267796999E-2</v>
      </c>
      <c r="C194">
        <v>1461.3607901059199</v>
      </c>
      <c r="D194">
        <v>-9.8950483913973486E-3</v>
      </c>
      <c r="G194" s="50">
        <v>1461.3607901059199</v>
      </c>
      <c r="H194">
        <v>-1.2151707915046699E-2</v>
      </c>
      <c r="I194" s="50">
        <v>1461.3607901059199</v>
      </c>
      <c r="J194">
        <v>-7.2999252529909577E-3</v>
      </c>
      <c r="L194">
        <v>1461.3607901059199</v>
      </c>
      <c r="M194">
        <f t="shared" si="8"/>
        <v>0.9988614391068299</v>
      </c>
      <c r="N194">
        <f t="shared" si="9"/>
        <v>0.99915991811316318</v>
      </c>
      <c r="O194">
        <f t="shared" si="10"/>
        <v>0.99970127003603493</v>
      </c>
      <c r="P194">
        <f t="shared" si="11"/>
        <v>-2.5951231384063909E-3</v>
      </c>
      <c r="S194">
        <v>1461.3607901059199</v>
      </c>
      <c r="T194">
        <v>0</v>
      </c>
      <c r="U194">
        <v>1461.3607901059199</v>
      </c>
      <c r="V194">
        <v>-3.737933592003629E-2</v>
      </c>
    </row>
    <row r="195" spans="1:22" x14ac:dyDescent="0.3">
      <c r="A195">
        <v>1441.27026425863</v>
      </c>
      <c r="B195">
        <v>-1.0791512663377398E-2</v>
      </c>
      <c r="C195">
        <v>1441.27026425863</v>
      </c>
      <c r="D195">
        <v>-9.8893999753091304E-3</v>
      </c>
      <c r="G195" s="50">
        <v>1441.27026425863</v>
      </c>
      <c r="H195">
        <v>-1.21689125497724E-2</v>
      </c>
      <c r="I195" s="50">
        <v>1441.27026425863</v>
      </c>
      <c r="J195">
        <v>-7.3207693255178787E-3</v>
      </c>
      <c r="L195">
        <v>1441.27026425863</v>
      </c>
      <c r="M195">
        <f t="shared" si="8"/>
        <v>0.9988620886645716</v>
      </c>
      <c r="N195">
        <f t="shared" si="9"/>
        <v>0.99915752036950345</v>
      </c>
      <c r="O195">
        <f t="shared" si="10"/>
        <v>0.99970431919000857</v>
      </c>
      <c r="P195">
        <f t="shared" si="11"/>
        <v>-2.5686306497912518E-3</v>
      </c>
      <c r="S195">
        <v>1441.27026425863</v>
      </c>
      <c r="T195">
        <v>0</v>
      </c>
      <c r="U195">
        <v>1441.27026425863</v>
      </c>
      <c r="V195">
        <v>-3.6855633483867202E-2</v>
      </c>
    </row>
    <row r="196" spans="1:22" x14ac:dyDescent="0.3">
      <c r="A196">
        <v>1421.4559393547102</v>
      </c>
      <c r="B196">
        <v>-1.0781306911144499E-2</v>
      </c>
      <c r="C196">
        <v>1421.4559393547102</v>
      </c>
      <c r="D196">
        <v>-9.903096476309721E-3</v>
      </c>
      <c r="G196" s="50">
        <v>1421.4559393547102</v>
      </c>
      <c r="H196">
        <v>-1.2176881802419E-2</v>
      </c>
      <c r="I196" s="50">
        <v>1421.4559393547102</v>
      </c>
      <c r="J196">
        <v>-7.3287932592212713E-3</v>
      </c>
      <c r="L196">
        <v>1421.4559393547102</v>
      </c>
      <c r="M196">
        <f t="shared" si="8"/>
        <v>0.99886051359219774</v>
      </c>
      <c r="N196">
        <f t="shared" si="9"/>
        <v>0.99915659735869711</v>
      </c>
      <c r="O196">
        <f t="shared" si="10"/>
        <v>0.9997036663048795</v>
      </c>
      <c r="P196">
        <f t="shared" si="11"/>
        <v>-2.5743032170884497E-3</v>
      </c>
      <c r="S196">
        <v>1421.4559393547102</v>
      </c>
      <c r="T196">
        <v>0</v>
      </c>
      <c r="U196">
        <v>1421.4559393547102</v>
      </c>
      <c r="V196">
        <v>-3.6244326813232398E-2</v>
      </c>
    </row>
    <row r="197" spans="1:22" x14ac:dyDescent="0.3">
      <c r="A197">
        <v>1401.91401823315</v>
      </c>
      <c r="B197">
        <v>-1.07945261799028E-2</v>
      </c>
      <c r="C197">
        <v>1401.91401823315</v>
      </c>
      <c r="D197">
        <v>-9.9235568119039885E-3</v>
      </c>
      <c r="G197" s="50">
        <v>1401.91401823315</v>
      </c>
      <c r="H197">
        <v>-1.21888852291848E-2</v>
      </c>
      <c r="I197" s="50">
        <v>1401.91401823315</v>
      </c>
      <c r="J197">
        <v>-7.3325013909352598E-3</v>
      </c>
      <c r="L197">
        <v>1401.91401823315</v>
      </c>
      <c r="M197">
        <f t="shared" ref="M197:M260" si="12">10^(D197/20)</f>
        <v>0.99885816069593725</v>
      </c>
      <c r="N197">
        <f t="shared" ref="N197:N260" si="13">10^(J197/20)</f>
        <v>0.99915617080440844</v>
      </c>
      <c r="O197">
        <f t="shared" ref="O197:O260" si="14">M197/N197</f>
        <v>0.99970173820952213</v>
      </c>
      <c r="P197">
        <f t="shared" ref="P197:P260" si="15">D197-J197</f>
        <v>-2.5910554209687287E-3</v>
      </c>
      <c r="S197">
        <v>1401.91401823315</v>
      </c>
      <c r="T197">
        <v>0</v>
      </c>
      <c r="U197">
        <v>1401.91401823315</v>
      </c>
      <c r="V197">
        <v>-3.5799806447130295E-2</v>
      </c>
    </row>
    <row r="198" spans="1:22" x14ac:dyDescent="0.3">
      <c r="A198">
        <v>1382.6407559356498</v>
      </c>
      <c r="B198">
        <v>-1.08010979961294E-2</v>
      </c>
      <c r="C198">
        <v>1382.6407559356498</v>
      </c>
      <c r="D198">
        <v>-9.9214762224399278E-3</v>
      </c>
      <c r="G198" s="50">
        <v>1382.6407559356498</v>
      </c>
      <c r="H198">
        <v>-1.2165525952972499E-2</v>
      </c>
      <c r="I198" s="50">
        <v>1382.6407559356498</v>
      </c>
      <c r="J198">
        <v>-7.3341790896746762E-3</v>
      </c>
      <c r="L198">
        <v>1382.6407559356498</v>
      </c>
      <c r="M198">
        <f t="shared" si="12"/>
        <v>0.99885839995916759</v>
      </c>
      <c r="N198">
        <f t="shared" si="13"/>
        <v>0.99915597781520904</v>
      </c>
      <c r="O198">
        <f t="shared" si="14"/>
        <v>0.99970217076948076</v>
      </c>
      <c r="P198">
        <f t="shared" si="15"/>
        <v>-2.5872971327652516E-3</v>
      </c>
      <c r="S198">
        <v>1382.6407559356498</v>
      </c>
      <c r="T198">
        <v>0</v>
      </c>
      <c r="U198">
        <v>1382.6407559356498</v>
      </c>
      <c r="V198">
        <v>-3.5173501916744995E-2</v>
      </c>
    </row>
    <row r="199" spans="1:22" x14ac:dyDescent="0.3">
      <c r="A199">
        <v>1363.63245898892</v>
      </c>
      <c r="B199">
        <v>-1.0813653271161102E-2</v>
      </c>
      <c r="C199">
        <v>1363.63245898892</v>
      </c>
      <c r="D199">
        <v>-9.9390208308825414E-3</v>
      </c>
      <c r="G199" s="50">
        <v>1363.63245898892</v>
      </c>
      <c r="H199">
        <v>-1.21732032339988E-2</v>
      </c>
      <c r="I199" s="50">
        <v>1363.63245898892</v>
      </c>
      <c r="J199">
        <v>-7.3167319259874576E-3</v>
      </c>
      <c r="L199">
        <v>1363.63245898892</v>
      </c>
      <c r="M199">
        <f t="shared" si="12"/>
        <v>0.99885638236942753</v>
      </c>
      <c r="N199">
        <f t="shared" si="13"/>
        <v>0.9991579848008062</v>
      </c>
      <c r="O199">
        <f t="shared" si="14"/>
        <v>0.99969814340077678</v>
      </c>
      <c r="P199">
        <f t="shared" si="15"/>
        <v>-2.6222889048950837E-3</v>
      </c>
      <c r="S199">
        <v>1363.63245898892</v>
      </c>
      <c r="T199">
        <v>0</v>
      </c>
      <c r="U199">
        <v>1363.63245898892</v>
      </c>
      <c r="V199">
        <v>-3.4883105653079803E-2</v>
      </c>
    </row>
    <row r="200" spans="1:22" x14ac:dyDescent="0.3">
      <c r="A200">
        <v>1344.88548469687</v>
      </c>
      <c r="B200">
        <v>-1.0788191719242999E-2</v>
      </c>
      <c r="C200">
        <v>1344.88548469687</v>
      </c>
      <c r="D200">
        <v>-9.9207288112443514E-3</v>
      </c>
      <c r="G200" s="50">
        <v>1344.88548469687</v>
      </c>
      <c r="H200">
        <v>-1.2203085810523999E-2</v>
      </c>
      <c r="I200" s="50">
        <v>1344.88548469687</v>
      </c>
      <c r="J200">
        <v>-7.3258813839609579E-3</v>
      </c>
      <c r="L200">
        <v>1344.88548469687</v>
      </c>
      <c r="M200">
        <f t="shared" si="12"/>
        <v>0.99885848590983195</v>
      </c>
      <c r="N200">
        <f t="shared" si="13"/>
        <v>0.99915693231803748</v>
      </c>
      <c r="O200">
        <f t="shared" si="14"/>
        <v>0.99970130176896921</v>
      </c>
      <c r="P200">
        <f t="shared" si="15"/>
        <v>-2.5948474272833935E-3</v>
      </c>
      <c r="S200">
        <v>1344.88548469687</v>
      </c>
      <c r="T200">
        <v>0</v>
      </c>
      <c r="U200">
        <v>1344.88548469687</v>
      </c>
      <c r="V200">
        <v>-3.4586489744469893E-2</v>
      </c>
    </row>
    <row r="201" spans="1:22" x14ac:dyDescent="0.3">
      <c r="A201">
        <v>1326.3962404425599</v>
      </c>
      <c r="B201">
        <v>-1.0811155177038899E-2</v>
      </c>
      <c r="C201">
        <v>1326.3962404425599</v>
      </c>
      <c r="D201">
        <v>-9.9335171260439403E-3</v>
      </c>
      <c r="G201" s="50">
        <v>1326.3962404425599</v>
      </c>
      <c r="H201">
        <v>-1.2218941444866903E-2</v>
      </c>
      <c r="I201" s="50">
        <v>1326.3962404425599</v>
      </c>
      <c r="J201">
        <v>-7.3286638775579907E-3</v>
      </c>
      <c r="L201">
        <v>1326.3962404425599</v>
      </c>
      <c r="M201">
        <f t="shared" si="12"/>
        <v>0.99885701528242488</v>
      </c>
      <c r="N201">
        <f t="shared" si="13"/>
        <v>0.99915661224174845</v>
      </c>
      <c r="O201">
        <f t="shared" si="14"/>
        <v>0.99970015015098446</v>
      </c>
      <c r="P201">
        <f t="shared" si="15"/>
        <v>-2.6048532484859496E-3</v>
      </c>
      <c r="S201">
        <v>1326.3962404425599</v>
      </c>
      <c r="T201">
        <v>0</v>
      </c>
      <c r="U201">
        <v>1326.3962404425599</v>
      </c>
      <c r="V201">
        <v>-3.3894061360456397E-2</v>
      </c>
    </row>
    <row r="202" spans="1:22" x14ac:dyDescent="0.3">
      <c r="A202">
        <v>1308.16118299967</v>
      </c>
      <c r="B202">
        <v>-1.0799456142680601E-2</v>
      </c>
      <c r="C202">
        <v>1308.16118299967</v>
      </c>
      <c r="D202">
        <v>-9.9381757722476066E-3</v>
      </c>
      <c r="G202" s="50">
        <v>1308.16118299967</v>
      </c>
      <c r="H202">
        <v>-1.2204829005956E-2</v>
      </c>
      <c r="I202" s="50">
        <v>1308.16118299967</v>
      </c>
      <c r="J202">
        <v>-7.3408616345369982E-3</v>
      </c>
      <c r="L202">
        <v>1308.16118299967</v>
      </c>
      <c r="M202">
        <f t="shared" si="12"/>
        <v>0.99885647954913925</v>
      </c>
      <c r="N202">
        <f t="shared" si="13"/>
        <v>0.99915520910844968</v>
      </c>
      <c r="O202">
        <f t="shared" si="14"/>
        <v>0.99970101786330379</v>
      </c>
      <c r="P202">
        <f t="shared" si="15"/>
        <v>-2.5973141377106084E-3</v>
      </c>
      <c r="S202">
        <v>1308.16118299967</v>
      </c>
      <c r="T202">
        <v>0</v>
      </c>
      <c r="U202">
        <v>1308.16118299967</v>
      </c>
      <c r="V202">
        <v>-3.3885578114791308E-2</v>
      </c>
    </row>
    <row r="203" spans="1:22" x14ac:dyDescent="0.3">
      <c r="A203">
        <v>1290.1768178535599</v>
      </c>
      <c r="B203">
        <v>-1.0813873461456099E-2</v>
      </c>
      <c r="C203">
        <v>1290.1768178535599</v>
      </c>
      <c r="D203">
        <v>-9.9358406684005481E-3</v>
      </c>
      <c r="G203" s="50">
        <v>1290.1768178535599</v>
      </c>
      <c r="H203">
        <v>-1.2225715906746801E-2</v>
      </c>
      <c r="I203" s="50">
        <v>1290.1768178535599</v>
      </c>
      <c r="J203">
        <v>-7.3528702190151203E-3</v>
      </c>
      <c r="L203">
        <v>1290.1768178535599</v>
      </c>
      <c r="M203">
        <f t="shared" si="12"/>
        <v>0.99885674808051839</v>
      </c>
      <c r="N203">
        <f t="shared" si="13"/>
        <v>0.99915382773798078</v>
      </c>
      <c r="O203">
        <f t="shared" si="14"/>
        <v>0.99970266874908043</v>
      </c>
      <c r="P203">
        <f t="shared" si="15"/>
        <v>-2.5829704493854277E-3</v>
      </c>
      <c r="S203">
        <v>1290.1768178535599</v>
      </c>
      <c r="T203">
        <v>0</v>
      </c>
      <c r="U203">
        <v>1290.1768178535599</v>
      </c>
      <c r="V203">
        <v>-3.3006440780468403E-2</v>
      </c>
    </row>
    <row r="204" spans="1:22" x14ac:dyDescent="0.3">
      <c r="A204">
        <v>1272.43969853152</v>
      </c>
      <c r="B204">
        <v>-1.08081786683725E-2</v>
      </c>
      <c r="C204">
        <v>1272.43969853152</v>
      </c>
      <c r="D204">
        <v>-9.9348520784502421E-3</v>
      </c>
      <c r="G204" s="50">
        <v>1272.43969853152</v>
      </c>
      <c r="H204">
        <v>-1.2230098689998801E-2</v>
      </c>
      <c r="I204" s="50">
        <v>1272.43969853152</v>
      </c>
      <c r="J204">
        <v>-7.3502213879481316E-3</v>
      </c>
      <c r="L204">
        <v>1272.43969853152</v>
      </c>
      <c r="M204">
        <f t="shared" si="12"/>
        <v>0.99885686176602895</v>
      </c>
      <c r="N204">
        <f t="shared" si="13"/>
        <v>0.99915413243792683</v>
      </c>
      <c r="O204">
        <f t="shared" si="14"/>
        <v>0.99970247766360876</v>
      </c>
      <c r="P204">
        <f t="shared" si="15"/>
        <v>-2.5846306905021104E-3</v>
      </c>
      <c r="S204">
        <v>1272.43969853152</v>
      </c>
      <c r="T204">
        <v>0</v>
      </c>
      <c r="U204">
        <v>1272.43969853152</v>
      </c>
      <c r="V204">
        <v>-3.2897465801681798E-2</v>
      </c>
    </row>
    <row r="205" spans="1:22" x14ac:dyDescent="0.3">
      <c r="A205">
        <v>1254.9464259423401</v>
      </c>
      <c r="B205">
        <v>-1.0808907705317901E-2</v>
      </c>
      <c r="C205">
        <v>1254.9464259423401</v>
      </c>
      <c r="D205">
        <v>-9.9435763206544101E-3</v>
      </c>
      <c r="G205" s="50">
        <v>1254.9464259423401</v>
      </c>
      <c r="H205">
        <v>-1.2225017895186201E-2</v>
      </c>
      <c r="I205" s="50">
        <v>1254.9464259423401</v>
      </c>
      <c r="J205">
        <v>-7.3334920009763601E-3</v>
      </c>
      <c r="L205">
        <v>1254.9464259423401</v>
      </c>
      <c r="M205">
        <f t="shared" si="12"/>
        <v>0.9988558584992161</v>
      </c>
      <c r="N205">
        <f t="shared" si="13"/>
        <v>0.99915605685245634</v>
      </c>
      <c r="O205">
        <f t="shared" si="14"/>
        <v>0.99969954808242278</v>
      </c>
      <c r="P205">
        <f t="shared" si="15"/>
        <v>-2.61008431967805E-3</v>
      </c>
      <c r="S205">
        <v>1254.9464259423401</v>
      </c>
      <c r="T205">
        <v>0</v>
      </c>
      <c r="U205">
        <v>1254.9464259423401</v>
      </c>
      <c r="V205">
        <v>-3.2144336119529292E-2</v>
      </c>
    </row>
    <row r="206" spans="1:22" x14ac:dyDescent="0.3">
      <c r="A206">
        <v>1237.6936477249001</v>
      </c>
      <c r="B206">
        <v>-1.0809714297066701E-2</v>
      </c>
      <c r="C206">
        <v>1237.6936477249001</v>
      </c>
      <c r="D206">
        <v>-9.9590114960527044E-3</v>
      </c>
      <c r="G206" s="50">
        <v>1237.6936477249001</v>
      </c>
      <c r="H206">
        <v>-1.2245156835597699E-2</v>
      </c>
      <c r="I206" s="50">
        <v>1237.6936477249001</v>
      </c>
      <c r="J206">
        <v>-7.3501995628221187E-3</v>
      </c>
      <c r="L206">
        <v>1237.6936477249001</v>
      </c>
      <c r="M206">
        <f t="shared" si="12"/>
        <v>0.99885408349373972</v>
      </c>
      <c r="N206">
        <f t="shared" si="13"/>
        <v>0.9991541349485118</v>
      </c>
      <c r="O206">
        <f t="shared" si="14"/>
        <v>0.99969969452732377</v>
      </c>
      <c r="P206">
        <f t="shared" si="15"/>
        <v>-2.6088119332305856E-3</v>
      </c>
      <c r="S206">
        <v>1237.6936477249001</v>
      </c>
      <c r="T206">
        <v>0</v>
      </c>
      <c r="U206">
        <v>1237.6936477249001</v>
      </c>
      <c r="V206">
        <v>-3.1532534425082297E-2</v>
      </c>
    </row>
    <row r="207" spans="1:22" x14ac:dyDescent="0.3">
      <c r="A207">
        <v>1220.6780576057399</v>
      </c>
      <c r="B207">
        <v>-1.0836382543050803E-2</v>
      </c>
      <c r="C207">
        <v>1220.6780576057399</v>
      </c>
      <c r="D207">
        <v>-9.9548298699273785E-3</v>
      </c>
      <c r="G207" s="50">
        <v>1220.6780576057399</v>
      </c>
      <c r="H207">
        <v>-1.2241623899843899E-2</v>
      </c>
      <c r="I207" s="50">
        <v>1220.6780576057399</v>
      </c>
      <c r="J207">
        <v>-7.3411737328156687E-3</v>
      </c>
      <c r="L207">
        <v>1220.6780576057399</v>
      </c>
      <c r="M207">
        <f t="shared" si="12"/>
        <v>0.9988545643696789</v>
      </c>
      <c r="N207">
        <f t="shared" si="13"/>
        <v>0.99915517320716274</v>
      </c>
      <c r="O207">
        <f t="shared" si="14"/>
        <v>0.99969913698538049</v>
      </c>
      <c r="P207">
        <f t="shared" si="15"/>
        <v>-2.6136561371117098E-3</v>
      </c>
      <c r="S207">
        <v>1220.6780576057399</v>
      </c>
      <c r="T207">
        <v>0</v>
      </c>
      <c r="U207">
        <v>1220.6780576057399</v>
      </c>
      <c r="V207">
        <v>-3.1554769604667902E-2</v>
      </c>
    </row>
    <row r="208" spans="1:22" x14ac:dyDescent="0.3">
      <c r="A208">
        <v>1203.8963947654702</v>
      </c>
      <c r="B208">
        <v>-1.0824903807251098E-2</v>
      </c>
      <c r="C208">
        <v>1203.8963947654702</v>
      </c>
      <c r="D208">
        <v>-9.9513650851481093E-3</v>
      </c>
      <c r="G208" s="50">
        <v>1203.8963947654702</v>
      </c>
      <c r="H208">
        <v>-1.2251172620726001E-2</v>
      </c>
      <c r="I208" s="50">
        <v>1203.8963947654702</v>
      </c>
      <c r="J208">
        <v>-7.3262755022966298E-3</v>
      </c>
      <c r="L208">
        <v>1203.8963947654702</v>
      </c>
      <c r="M208">
        <f t="shared" si="12"/>
        <v>0.99885496281093544</v>
      </c>
      <c r="N208">
        <f t="shared" si="13"/>
        <v>0.99915688698174221</v>
      </c>
      <c r="O208">
        <f t="shared" si="14"/>
        <v>0.9996978210581936</v>
      </c>
      <c r="P208">
        <f t="shared" si="15"/>
        <v>-2.6250895828514795E-3</v>
      </c>
      <c r="S208">
        <v>1203.8963947654702</v>
      </c>
      <c r="T208">
        <v>0</v>
      </c>
      <c r="U208">
        <v>1203.8963947654702</v>
      </c>
      <c r="V208">
        <v>-3.0806087740984402E-2</v>
      </c>
    </row>
    <row r="209" spans="1:22" x14ac:dyDescent="0.3">
      <c r="A209">
        <v>1187.3454432138401</v>
      </c>
      <c r="B209">
        <v>-1.08157912399606E-2</v>
      </c>
      <c r="C209">
        <v>1187.3454432138401</v>
      </c>
      <c r="D209">
        <v>-9.9449501389250201E-3</v>
      </c>
      <c r="G209" s="50">
        <v>1187.3454432138401</v>
      </c>
      <c r="H209">
        <v>-1.2241275484188298E-2</v>
      </c>
      <c r="I209" s="50">
        <v>1187.3454432138401</v>
      </c>
      <c r="J209">
        <v>-7.3324785405256502E-3</v>
      </c>
      <c r="L209">
        <v>1187.3454432138401</v>
      </c>
      <c r="M209">
        <f t="shared" si="12"/>
        <v>0.99885570051352013</v>
      </c>
      <c r="N209">
        <f t="shared" si="13"/>
        <v>0.99915617343293928</v>
      </c>
      <c r="O209">
        <f t="shared" si="14"/>
        <v>0.99969927331941832</v>
      </c>
      <c r="P209">
        <f t="shared" si="15"/>
        <v>-2.6124715983993699E-3</v>
      </c>
      <c r="S209">
        <v>1187.3454432138401</v>
      </c>
      <c r="T209">
        <v>0</v>
      </c>
      <c r="U209">
        <v>1187.3454432138401</v>
      </c>
      <c r="V209">
        <v>-3.03192220808342E-2</v>
      </c>
    </row>
    <row r="210" spans="1:22" x14ac:dyDescent="0.3">
      <c r="A210">
        <v>1171.0220311734702</v>
      </c>
      <c r="B210">
        <v>-1.0822897221026402E-2</v>
      </c>
      <c r="C210">
        <v>1171.0220311734702</v>
      </c>
      <c r="D210">
        <v>-9.9582729377619209E-3</v>
      </c>
      <c r="G210" s="50">
        <v>1171.0220311734702</v>
      </c>
      <c r="H210">
        <v>-1.2269843681165502E-2</v>
      </c>
      <c r="I210" s="50">
        <v>1171.0220311734702</v>
      </c>
      <c r="J210">
        <v>-7.3701151694125716E-3</v>
      </c>
      <c r="L210">
        <v>1171.0220311734702</v>
      </c>
      <c r="M210">
        <f t="shared" si="12"/>
        <v>0.99885416842597197</v>
      </c>
      <c r="N210">
        <f t="shared" si="13"/>
        <v>0.99915184402165313</v>
      </c>
      <c r="O210">
        <f t="shared" si="14"/>
        <v>0.99970207171466252</v>
      </c>
      <c r="P210">
        <f t="shared" si="15"/>
        <v>-2.5881577683493492E-3</v>
      </c>
      <c r="S210">
        <v>1171.0220311734702</v>
      </c>
      <c r="T210">
        <v>0</v>
      </c>
      <c r="U210">
        <v>1171.0220311734702</v>
      </c>
      <c r="V210">
        <v>-3.0087878893027699E-2</v>
      </c>
    </row>
    <row r="211" spans="1:22" x14ac:dyDescent="0.3">
      <c r="A211">
        <v>1154.9230304719799</v>
      </c>
      <c r="B211">
        <v>-1.0822905754873102E-2</v>
      </c>
      <c r="C211">
        <v>1154.9230304719799</v>
      </c>
      <c r="D211">
        <v>-9.9565651668201798E-3</v>
      </c>
      <c r="G211" s="50">
        <v>1154.9230304719799</v>
      </c>
      <c r="H211">
        <v>-1.2248592630402601E-2</v>
      </c>
      <c r="I211" s="50">
        <v>1154.9230304719799</v>
      </c>
      <c r="J211">
        <v>-7.3743266950182908E-3</v>
      </c>
      <c r="L211">
        <v>1154.9230304719799</v>
      </c>
      <c r="M211">
        <f t="shared" si="12"/>
        <v>0.99885436481509993</v>
      </c>
      <c r="N211">
        <f t="shared" si="13"/>
        <v>0.99915135956321199</v>
      </c>
      <c r="O211">
        <f t="shared" si="14"/>
        <v>0.99970275299606071</v>
      </c>
      <c r="P211">
        <f t="shared" si="15"/>
        <v>-2.5822384718018889E-3</v>
      </c>
      <c r="S211">
        <v>1154.9230304719799</v>
      </c>
      <c r="T211">
        <v>0</v>
      </c>
      <c r="U211">
        <v>1154.9230304719799</v>
      </c>
      <c r="V211">
        <v>-2.9849061827633201E-2</v>
      </c>
    </row>
    <row r="212" spans="1:22" x14ac:dyDescent="0.3">
      <c r="A212">
        <v>1139.04535594258</v>
      </c>
      <c r="B212">
        <v>-1.0832781222285702E-2</v>
      </c>
      <c r="C212">
        <v>1139.04535594258</v>
      </c>
      <c r="D212">
        <v>-9.9677394125016073E-3</v>
      </c>
      <c r="G212" s="50">
        <v>1139.04535594258</v>
      </c>
      <c r="H212">
        <v>-1.2255300523181299E-2</v>
      </c>
      <c r="I212" s="50">
        <v>1139.04535594258</v>
      </c>
      <c r="J212">
        <v>-7.3747571507543717E-3</v>
      </c>
      <c r="L212">
        <v>1139.04535594258</v>
      </c>
      <c r="M212">
        <f t="shared" si="12"/>
        <v>0.99885307980718974</v>
      </c>
      <c r="N212">
        <f t="shared" si="13"/>
        <v>0.99915131004722202</v>
      </c>
      <c r="O212">
        <f t="shared" si="14"/>
        <v>0.9997015164399693</v>
      </c>
      <c r="P212">
        <f t="shared" si="15"/>
        <v>-2.5929822617472356E-3</v>
      </c>
      <c r="S212">
        <v>1139.04535594258</v>
      </c>
      <c r="T212">
        <v>0</v>
      </c>
      <c r="U212">
        <v>1139.04535594258</v>
      </c>
      <c r="V212">
        <v>-2.8998128166563199E-2</v>
      </c>
    </row>
    <row r="213" spans="1:22" x14ac:dyDescent="0.3">
      <c r="A213">
        <v>1123.38596483278</v>
      </c>
      <c r="B213">
        <v>-1.0834426462012499E-2</v>
      </c>
      <c r="C213">
        <v>1123.38596483278</v>
      </c>
      <c r="D213">
        <v>-9.9558378264732409E-3</v>
      </c>
      <c r="G213" s="50">
        <v>1123.38596483278</v>
      </c>
      <c r="H213">
        <v>-1.2266154600798202E-2</v>
      </c>
      <c r="I213" s="50">
        <v>1123.38596483278</v>
      </c>
      <c r="J213">
        <v>-7.3703159498212595E-3</v>
      </c>
      <c r="L213">
        <v>1123.38596483278</v>
      </c>
      <c r="M213">
        <f t="shared" si="12"/>
        <v>0.99885444845732219</v>
      </c>
      <c r="N213">
        <f t="shared" si="13"/>
        <v>0.99915182092556032</v>
      </c>
      <c r="O213">
        <f t="shared" si="14"/>
        <v>0.99970237509254334</v>
      </c>
      <c r="P213">
        <f t="shared" si="15"/>
        <v>-2.5855218766519814E-3</v>
      </c>
      <c r="S213">
        <v>1123.38596483278</v>
      </c>
      <c r="T213">
        <v>0</v>
      </c>
      <c r="U213">
        <v>1123.38596483278</v>
      </c>
      <c r="V213">
        <v>-2.8990621462867201E-2</v>
      </c>
    </row>
    <row r="214" spans="1:22" x14ac:dyDescent="0.3">
      <c r="A214">
        <v>1107.9418562213002</v>
      </c>
      <c r="B214">
        <v>-1.0825751044200201E-2</v>
      </c>
      <c r="C214">
        <v>1107.9418562213002</v>
      </c>
      <c r="D214">
        <v>-9.9691094853256706E-3</v>
      </c>
      <c r="G214" s="50">
        <v>1107.9418562213002</v>
      </c>
      <c r="H214">
        <v>-1.2263585020507901E-2</v>
      </c>
      <c r="I214" s="50">
        <v>1107.9418562213002</v>
      </c>
      <c r="J214">
        <v>-7.3889363290147708E-3</v>
      </c>
      <c r="L214">
        <v>1107.9418562213002</v>
      </c>
      <c r="M214">
        <f t="shared" si="12"/>
        <v>0.99885292225264899</v>
      </c>
      <c r="N214">
        <f t="shared" si="13"/>
        <v>0.99914967899576279</v>
      </c>
      <c r="O214">
        <f t="shared" si="14"/>
        <v>0.9997029907036431</v>
      </c>
      <c r="P214">
        <f t="shared" si="15"/>
        <v>-2.5801731563108998E-3</v>
      </c>
      <c r="S214">
        <v>1107.9418562213002</v>
      </c>
      <c r="T214">
        <v>0</v>
      </c>
      <c r="U214">
        <v>1107.9418562213002</v>
      </c>
      <c r="V214">
        <v>-2.8549718589999901E-2</v>
      </c>
    </row>
    <row r="215" spans="1:22" x14ac:dyDescent="0.3">
      <c r="A215">
        <v>1092.7100704429902</v>
      </c>
      <c r="B215">
        <v>-1.0811516826200298E-2</v>
      </c>
      <c r="C215">
        <v>1092.7100704429902</v>
      </c>
      <c r="D215">
        <v>-9.9552293180615106E-3</v>
      </c>
      <c r="G215" s="50">
        <v>1092.7100704429902</v>
      </c>
      <c r="H215">
        <v>-1.22643663639677E-2</v>
      </c>
      <c r="I215" s="50">
        <v>1092.7100704429902</v>
      </c>
      <c r="J215">
        <v>-7.3784373557041283E-3</v>
      </c>
      <c r="L215">
        <v>1092.7100704429902</v>
      </c>
      <c r="M215">
        <f t="shared" si="12"/>
        <v>0.99885451843419037</v>
      </c>
      <c r="N215">
        <f t="shared" si="13"/>
        <v>0.99915088670764829</v>
      </c>
      <c r="O215">
        <f t="shared" si="14"/>
        <v>0.99970337986244051</v>
      </c>
      <c r="P215">
        <f t="shared" si="15"/>
        <v>-2.5767919623573823E-3</v>
      </c>
      <c r="S215">
        <v>1092.7100704429902</v>
      </c>
      <c r="T215">
        <v>0</v>
      </c>
      <c r="U215">
        <v>1092.7100704429902</v>
      </c>
      <c r="V215">
        <v>-2.7895374538729801E-2</v>
      </c>
    </row>
    <row r="216" spans="1:22" x14ac:dyDescent="0.3">
      <c r="A216">
        <v>1077.6876885216602</v>
      </c>
      <c r="B216">
        <v>-1.0829951596218398E-2</v>
      </c>
      <c r="C216">
        <v>1077.6876885216602</v>
      </c>
      <c r="D216">
        <v>-9.9684249553957278E-3</v>
      </c>
      <c r="G216" s="50">
        <v>1077.6876885216602</v>
      </c>
      <c r="H216">
        <v>-1.2283856743439601E-2</v>
      </c>
      <c r="I216" s="50">
        <v>1077.6876885216602</v>
      </c>
      <c r="J216">
        <v>-7.400187331267548E-3</v>
      </c>
      <c r="L216">
        <v>1077.6876885216602</v>
      </c>
      <c r="M216">
        <f t="shared" si="12"/>
        <v>0.99885300097167229</v>
      </c>
      <c r="N216">
        <f t="shared" si="13"/>
        <v>0.99914838477853496</v>
      </c>
      <c r="O216">
        <f t="shared" si="14"/>
        <v>0.99970436442538202</v>
      </c>
      <c r="P216">
        <f t="shared" si="15"/>
        <v>-2.5682376241281798E-3</v>
      </c>
      <c r="S216">
        <v>1077.6876885216602</v>
      </c>
      <c r="T216">
        <v>0</v>
      </c>
      <c r="U216">
        <v>1077.6876885216602</v>
      </c>
      <c r="V216">
        <v>-2.76529622542512E-2</v>
      </c>
    </row>
    <row r="217" spans="1:22" x14ac:dyDescent="0.3">
      <c r="A217">
        <v>1062.8718316106599</v>
      </c>
      <c r="B217">
        <v>-1.08375222465568E-2</v>
      </c>
      <c r="C217">
        <v>1062.8718316106599</v>
      </c>
      <c r="D217">
        <v>-9.9908907321566275E-3</v>
      </c>
      <c r="G217" s="50">
        <v>1062.8718316106599</v>
      </c>
      <c r="H217">
        <v>-1.2267161725823497E-2</v>
      </c>
      <c r="I217" s="50">
        <v>1062.8718316106599</v>
      </c>
      <c r="J217">
        <v>-7.3900413957002312E-3</v>
      </c>
      <c r="L217">
        <v>1062.8718316106599</v>
      </c>
      <c r="M217">
        <f t="shared" si="12"/>
        <v>0.9988504174735563</v>
      </c>
      <c r="N217">
        <f t="shared" si="13"/>
        <v>0.99914955187844945</v>
      </c>
      <c r="O217">
        <f t="shared" si="14"/>
        <v>0.9997006109802774</v>
      </c>
      <c r="P217">
        <f t="shared" si="15"/>
        <v>-2.6008493364563963E-3</v>
      </c>
      <c r="S217">
        <v>1062.8718316106599</v>
      </c>
      <c r="T217">
        <v>0</v>
      </c>
      <c r="U217">
        <v>1062.8718316106599</v>
      </c>
      <c r="V217">
        <v>-2.6827442463172705E-2</v>
      </c>
    </row>
    <row r="218" spans="1:22" x14ac:dyDescent="0.3">
      <c r="A218">
        <v>1048.2596604412302</v>
      </c>
      <c r="B218">
        <v>-1.0828915193422996E-2</v>
      </c>
      <c r="C218">
        <v>1048.2596604412302</v>
      </c>
      <c r="D218">
        <v>-1.0009433846776199E-2</v>
      </c>
      <c r="G218" s="50">
        <v>1048.2596604412302</v>
      </c>
      <c r="H218">
        <v>-1.2250244025719802E-2</v>
      </c>
      <c r="I218" s="50">
        <v>1048.2596604412302</v>
      </c>
      <c r="J218">
        <v>-7.3739780811099805E-3</v>
      </c>
      <c r="L218">
        <v>1048.2596604412302</v>
      </c>
      <c r="M218">
        <f t="shared" si="12"/>
        <v>0.99884828507505918</v>
      </c>
      <c r="N218">
        <f t="shared" si="13"/>
        <v>0.99915139966481159</v>
      </c>
      <c r="O218">
        <f t="shared" si="14"/>
        <v>0.99969662796864012</v>
      </c>
      <c r="P218">
        <f t="shared" si="15"/>
        <v>-2.6354557656662189E-3</v>
      </c>
      <c r="S218">
        <v>1048.2596604412302</v>
      </c>
      <c r="T218">
        <v>0</v>
      </c>
      <c r="U218">
        <v>1048.2596604412302</v>
      </c>
      <c r="V218">
        <v>-2.7047933536721299E-2</v>
      </c>
    </row>
    <row r="219" spans="1:22" x14ac:dyDescent="0.3">
      <c r="A219">
        <v>1033.84837477834</v>
      </c>
      <c r="B219">
        <v>-1.0811028830072601E-2</v>
      </c>
      <c r="C219">
        <v>1033.84837477834</v>
      </c>
      <c r="D219">
        <v>-9.9866111683842695E-3</v>
      </c>
      <c r="G219" s="50">
        <v>1033.84837477834</v>
      </c>
      <c r="H219">
        <v>-1.2282424241744598E-2</v>
      </c>
      <c r="I219" s="50">
        <v>1033.84837477834</v>
      </c>
      <c r="J219">
        <v>-7.3967167700575102E-3</v>
      </c>
      <c r="L219">
        <v>1033.84837477834</v>
      </c>
      <c r="M219">
        <f t="shared" si="12"/>
        <v>0.99885090961026213</v>
      </c>
      <c r="N219">
        <f t="shared" si="13"/>
        <v>0.99914878400146578</v>
      </c>
      <c r="O219">
        <f t="shared" si="14"/>
        <v>0.99970187183733472</v>
      </c>
      <c r="P219">
        <f t="shared" si="15"/>
        <v>-2.5898943983267593E-3</v>
      </c>
      <c r="S219">
        <v>1033.84837477834</v>
      </c>
      <c r="T219">
        <v>0</v>
      </c>
      <c r="U219">
        <v>1033.84837477834</v>
      </c>
      <c r="V219">
        <v>-2.6470500504899516E-2</v>
      </c>
    </row>
    <row r="220" spans="1:22" x14ac:dyDescent="0.3">
      <c r="A220">
        <v>1019.6352128841</v>
      </c>
      <c r="B220">
        <v>-1.0804157312391699E-2</v>
      </c>
      <c r="C220">
        <v>1019.6352128841</v>
      </c>
      <c r="D220">
        <v>-9.9802348263462008E-3</v>
      </c>
      <c r="G220" s="50">
        <v>1019.6352128841</v>
      </c>
      <c r="H220">
        <v>-1.2261450981030399E-2</v>
      </c>
      <c r="I220" s="50">
        <v>1019.6352128841</v>
      </c>
      <c r="J220">
        <v>-7.3996179822336302E-3</v>
      </c>
      <c r="L220">
        <v>1019.6352128841</v>
      </c>
      <c r="M220">
        <f t="shared" si="12"/>
        <v>0.99885164287048622</v>
      </c>
      <c r="N220">
        <f t="shared" si="13"/>
        <v>0.99914845027144461</v>
      </c>
      <c r="O220">
        <f t="shared" si="14"/>
        <v>0.99970293963737045</v>
      </c>
      <c r="P220">
        <f t="shared" si="15"/>
        <v>-2.5806168441125706E-3</v>
      </c>
      <c r="S220">
        <v>1019.6352128841</v>
      </c>
      <c r="T220">
        <v>0</v>
      </c>
      <c r="U220">
        <v>1019.6352128841</v>
      </c>
      <c r="V220">
        <v>-2.6012402787785001E-2</v>
      </c>
    </row>
    <row r="221" spans="1:22" x14ac:dyDescent="0.3">
      <c r="A221">
        <v>1005.6174509885101</v>
      </c>
      <c r="B221">
        <v>-1.08135353344111E-2</v>
      </c>
      <c r="C221">
        <v>1005.6174509885101</v>
      </c>
      <c r="D221">
        <v>-9.9890375915472791E-3</v>
      </c>
      <c r="G221" s="50">
        <v>1005.6174509885101</v>
      </c>
      <c r="H221">
        <v>-1.2274886579643899E-2</v>
      </c>
      <c r="I221" s="50">
        <v>1005.6174509885101</v>
      </c>
      <c r="J221">
        <v>-7.3952285073926793E-3</v>
      </c>
      <c r="L221">
        <v>1005.6174509885101</v>
      </c>
      <c r="M221">
        <f t="shared" si="12"/>
        <v>0.99885063057901169</v>
      </c>
      <c r="N221">
        <f t="shared" si="13"/>
        <v>0.99914895519820235</v>
      </c>
      <c r="O221">
        <f t="shared" si="14"/>
        <v>0.99970142127693917</v>
      </c>
      <c r="P221">
        <f t="shared" si="15"/>
        <v>-2.5938090841545998E-3</v>
      </c>
      <c r="S221">
        <v>1005.6174509885101</v>
      </c>
      <c r="T221">
        <v>0</v>
      </c>
      <c r="U221">
        <v>1005.6174509885101</v>
      </c>
      <c r="V221">
        <v>-2.5930948116865696E-2</v>
      </c>
    </row>
    <row r="222" spans="1:22" x14ac:dyDescent="0.3">
      <c r="A222">
        <v>991.79240276745793</v>
      </c>
      <c r="B222">
        <v>-1.0809443962070899E-2</v>
      </c>
      <c r="C222">
        <v>991.79240276745793</v>
      </c>
      <c r="D222">
        <v>-9.9875181577414804E-3</v>
      </c>
      <c r="G222" s="50">
        <v>991.79240276745793</v>
      </c>
      <c r="H222">
        <v>-1.2255206485330496E-2</v>
      </c>
      <c r="I222" s="50">
        <v>991.79240276745793</v>
      </c>
      <c r="J222">
        <v>-7.3699217305858589E-3</v>
      </c>
      <c r="L222">
        <v>991.79240276745793</v>
      </c>
      <c r="M222">
        <f t="shared" si="12"/>
        <v>0.99885080530924786</v>
      </c>
      <c r="N222">
        <f t="shared" si="13"/>
        <v>0.99915186627323249</v>
      </c>
      <c r="O222">
        <f t="shared" si="14"/>
        <v>0.99969868347931179</v>
      </c>
      <c r="P222">
        <f t="shared" si="15"/>
        <v>-2.6175964271556214E-3</v>
      </c>
      <c r="S222">
        <v>991.79240276745793</v>
      </c>
      <c r="T222">
        <v>0</v>
      </c>
      <c r="U222">
        <v>991.79240276745793</v>
      </c>
      <c r="V222">
        <v>-2.52219801108708E-2</v>
      </c>
    </row>
    <row r="223" spans="1:22" x14ac:dyDescent="0.3">
      <c r="A223">
        <v>978.15741882793282</v>
      </c>
      <c r="B223">
        <v>-1.08212288627915E-2</v>
      </c>
      <c r="C223">
        <v>978.15741882793282</v>
      </c>
      <c r="D223">
        <v>-9.9954616915878813E-3</v>
      </c>
      <c r="G223" s="50">
        <v>978.15741882793282</v>
      </c>
      <c r="H223">
        <v>-1.2265584428675902E-2</v>
      </c>
      <c r="I223" s="50">
        <v>978.15741882793282</v>
      </c>
      <c r="J223">
        <v>-7.3807482762533903E-3</v>
      </c>
      <c r="L223">
        <v>978.15741882793282</v>
      </c>
      <c r="M223">
        <f t="shared" si="12"/>
        <v>0.99884989182751116</v>
      </c>
      <c r="N223">
        <f t="shared" si="13"/>
        <v>0.99915062087903361</v>
      </c>
      <c r="O223">
        <f t="shared" si="14"/>
        <v>0.99969901529835625</v>
      </c>
      <c r="P223">
        <f t="shared" si="15"/>
        <v>-2.614713415334491E-3</v>
      </c>
      <c r="S223">
        <v>978.15741882793282</v>
      </c>
      <c r="T223">
        <v>0</v>
      </c>
      <c r="U223">
        <v>978.15741882793282</v>
      </c>
      <c r="V223">
        <v>-2.5261412337499688E-2</v>
      </c>
    </row>
    <row r="224" spans="1:22" x14ac:dyDescent="0.3">
      <c r="A224">
        <v>964.70988620030801</v>
      </c>
      <c r="B224">
        <v>-1.0806658315847102E-2</v>
      </c>
      <c r="C224">
        <v>964.70988620030801</v>
      </c>
      <c r="D224">
        <v>-9.9837128484286872E-3</v>
      </c>
      <c r="G224" s="50">
        <v>964.70988620030801</v>
      </c>
      <c r="H224">
        <v>-1.2284549441774199E-2</v>
      </c>
      <c r="I224" s="50">
        <v>964.70988620030801</v>
      </c>
      <c r="J224">
        <v>-7.4064293033680112E-3</v>
      </c>
      <c r="L224">
        <v>964.70988620030801</v>
      </c>
      <c r="M224">
        <f t="shared" si="12"/>
        <v>0.99885124290830385</v>
      </c>
      <c r="N224">
        <f t="shared" si="13"/>
        <v>0.99914766675719668</v>
      </c>
      <c r="O224">
        <f t="shared" si="14"/>
        <v>0.9997033232836795</v>
      </c>
      <c r="P224">
        <f t="shared" si="15"/>
        <v>-2.5772835450606759E-3</v>
      </c>
      <c r="S224">
        <v>964.70988620030801</v>
      </c>
      <c r="T224">
        <v>0</v>
      </c>
      <c r="U224">
        <v>964.70988620030801</v>
      </c>
      <c r="V224">
        <v>-2.414747498932E-2</v>
      </c>
    </row>
    <row r="225" spans="1:22" x14ac:dyDescent="0.3">
      <c r="A225">
        <v>951.4472278375921</v>
      </c>
      <c r="B225">
        <v>-1.0811733851557299E-2</v>
      </c>
      <c r="C225">
        <v>951.4472278375921</v>
      </c>
      <c r="D225">
        <v>-9.995693615724761E-3</v>
      </c>
      <c r="G225" s="50">
        <v>951.4472278375921</v>
      </c>
      <c r="H225">
        <v>-1.2269347937701201E-2</v>
      </c>
      <c r="I225" s="50">
        <v>951.4472278375921</v>
      </c>
      <c r="J225">
        <v>-7.3934878888519016E-3</v>
      </c>
      <c r="L225">
        <v>951.4472278375921</v>
      </c>
      <c r="M225">
        <f t="shared" si="12"/>
        <v>0.99884986515696794</v>
      </c>
      <c r="N225">
        <f t="shared" si="13"/>
        <v>0.99914915542379157</v>
      </c>
      <c r="O225">
        <f t="shared" si="14"/>
        <v>0.99970045486682446</v>
      </c>
      <c r="P225">
        <f t="shared" si="15"/>
        <v>-2.6022057268728594E-3</v>
      </c>
      <c r="S225">
        <v>951.4472278375921</v>
      </c>
      <c r="T225">
        <v>0</v>
      </c>
      <c r="U225">
        <v>951.4472278375921</v>
      </c>
      <c r="V225">
        <v>-2.4206225635907689E-2</v>
      </c>
    </row>
    <row r="226" spans="1:22" x14ac:dyDescent="0.3">
      <c r="A226">
        <v>938.36690212157282</v>
      </c>
      <c r="B226">
        <v>-1.0814699357115201E-2</v>
      </c>
      <c r="C226">
        <v>938.36690212157282</v>
      </c>
      <c r="D226">
        <v>-9.9825233558612E-3</v>
      </c>
      <c r="G226" s="50">
        <v>938.36690212157282</v>
      </c>
      <c r="H226">
        <v>-1.2275985594308101E-2</v>
      </c>
      <c r="I226" s="50">
        <v>938.36690212157282</v>
      </c>
      <c r="J226">
        <v>-7.3906369330649603E-3</v>
      </c>
      <c r="L226">
        <v>938.36690212157282</v>
      </c>
      <c r="M226">
        <f t="shared" si="12"/>
        <v>0.99885137969638871</v>
      </c>
      <c r="N226">
        <f t="shared" si="13"/>
        <v>0.99914948337298881</v>
      </c>
      <c r="O226">
        <f t="shared" si="14"/>
        <v>0.99970164256544103</v>
      </c>
      <c r="P226">
        <f t="shared" si="15"/>
        <v>-2.5918864227962397E-3</v>
      </c>
      <c r="S226">
        <v>938.36690212157282</v>
      </c>
      <c r="T226">
        <v>0</v>
      </c>
      <c r="U226">
        <v>938.36690212157282</v>
      </c>
      <c r="V226">
        <v>-2.4532984480970296E-2</v>
      </c>
    </row>
    <row r="227" spans="1:22" x14ac:dyDescent="0.3">
      <c r="A227">
        <v>925.46640237575104</v>
      </c>
      <c r="B227">
        <v>-1.08170990052612E-2</v>
      </c>
      <c r="C227">
        <v>925.46640237575104</v>
      </c>
      <c r="D227">
        <v>-9.99367449742148E-3</v>
      </c>
      <c r="G227" s="50">
        <v>925.46640237575104</v>
      </c>
      <c r="H227">
        <v>-1.2291294878418301E-2</v>
      </c>
      <c r="I227" s="50">
        <v>925.46640237575104</v>
      </c>
      <c r="J227">
        <v>-7.3996046484011389E-3</v>
      </c>
      <c r="L227">
        <v>925.46640237575104</v>
      </c>
      <c r="M227">
        <f t="shared" si="12"/>
        <v>0.99885009734922037</v>
      </c>
      <c r="N227">
        <f t="shared" si="13"/>
        <v>0.99914845180525158</v>
      </c>
      <c r="O227">
        <f t="shared" si="14"/>
        <v>0.99970139126423896</v>
      </c>
      <c r="P227">
        <f t="shared" si="15"/>
        <v>-2.5940698490203411E-3</v>
      </c>
      <c r="S227">
        <v>925.46640237575104</v>
      </c>
      <c r="T227">
        <v>0</v>
      </c>
      <c r="U227">
        <v>925.46640237575104</v>
      </c>
      <c r="V227">
        <v>-2.3757359413480096E-2</v>
      </c>
    </row>
    <row r="228" spans="1:22" x14ac:dyDescent="0.3">
      <c r="A228">
        <v>912.74325638496487</v>
      </c>
      <c r="B228">
        <v>-1.08311324868856E-2</v>
      </c>
      <c r="C228">
        <v>912.74325638496487</v>
      </c>
      <c r="D228">
        <v>-1.0010706047359598E-2</v>
      </c>
      <c r="G228" s="50">
        <v>912.74325638496487</v>
      </c>
      <c r="H228">
        <v>-1.22928502471498E-2</v>
      </c>
      <c r="I228" s="50">
        <v>912.74325638496487</v>
      </c>
      <c r="J228">
        <v>-7.4065315249053796E-3</v>
      </c>
      <c r="L228">
        <v>912.74325638496487</v>
      </c>
      <c r="M228">
        <f t="shared" si="12"/>
        <v>0.998848138776254</v>
      </c>
      <c r="N228">
        <f t="shared" si="13"/>
        <v>0.99914765499853819</v>
      </c>
      <c r="O228">
        <f t="shared" si="14"/>
        <v>0.99970022826877913</v>
      </c>
      <c r="P228">
        <f t="shared" si="15"/>
        <v>-2.6041745224542187E-3</v>
      </c>
      <c r="S228">
        <v>912.74325638496487</v>
      </c>
      <c r="T228">
        <v>0</v>
      </c>
      <c r="U228">
        <v>912.74325638496487</v>
      </c>
      <c r="V228">
        <v>-2.3438621381899297E-2</v>
      </c>
    </row>
    <row r="229" spans="1:22" x14ac:dyDescent="0.3">
      <c r="A229">
        <v>900.195025921622</v>
      </c>
      <c r="B229">
        <v>-1.0816271591120001E-2</v>
      </c>
      <c r="C229">
        <v>900.195025921622</v>
      </c>
      <c r="D229">
        <v>-1.00142740010166E-2</v>
      </c>
      <c r="G229" s="50">
        <v>900.195025921622</v>
      </c>
      <c r="H229">
        <v>-1.2278528236177399E-2</v>
      </c>
      <c r="I229" s="50">
        <v>900.195025921622</v>
      </c>
      <c r="J229">
        <v>-7.3941870199747579E-3</v>
      </c>
      <c r="L229">
        <v>900.195025921622</v>
      </c>
      <c r="M229">
        <f t="shared" si="12"/>
        <v>0.99884772847364978</v>
      </c>
      <c r="N229">
        <f t="shared" si="13"/>
        <v>0.99914907500183459</v>
      </c>
      <c r="O229">
        <f t="shared" si="14"/>
        <v>0.99969839683013839</v>
      </c>
      <c r="P229">
        <f t="shared" si="15"/>
        <v>-2.6200869810418422E-3</v>
      </c>
      <c r="S229">
        <v>900.195025921622</v>
      </c>
      <c r="T229">
        <v>0</v>
      </c>
      <c r="U229">
        <v>900.195025921622</v>
      </c>
      <c r="V229">
        <v>-2.3242749916732901E-2</v>
      </c>
    </row>
    <row r="230" spans="1:22" x14ac:dyDescent="0.3">
      <c r="A230">
        <v>887.81930627844611</v>
      </c>
      <c r="B230">
        <v>-1.08023648518455E-2</v>
      </c>
      <c r="C230">
        <v>887.81930627844611</v>
      </c>
      <c r="D230">
        <v>-9.9907151947853934E-3</v>
      </c>
      <c r="G230" s="50">
        <v>887.81930627844611</v>
      </c>
      <c r="H230">
        <v>-1.2306806340546301E-2</v>
      </c>
      <c r="I230" s="50">
        <v>887.81930627844611</v>
      </c>
      <c r="J230">
        <v>-7.4112769101534592E-3</v>
      </c>
      <c r="L230">
        <v>887.81930627844611</v>
      </c>
      <c r="M230">
        <f t="shared" si="12"/>
        <v>0.99885043765981063</v>
      </c>
      <c r="N230">
        <f t="shared" si="13"/>
        <v>0.9991471091316847</v>
      </c>
      <c r="O230">
        <f t="shared" si="14"/>
        <v>0.99970307528374691</v>
      </c>
      <c r="P230">
        <f t="shared" si="15"/>
        <v>-2.5794382846319342E-3</v>
      </c>
      <c r="S230">
        <v>887.81930627844611</v>
      </c>
      <c r="T230">
        <v>0</v>
      </c>
      <c r="U230">
        <v>887.81930627844611</v>
      </c>
      <c r="V230">
        <v>-2.2989285728044703E-2</v>
      </c>
    </row>
    <row r="231" spans="1:22" x14ac:dyDescent="0.3">
      <c r="A231">
        <v>875.61372580764612</v>
      </c>
      <c r="B231">
        <v>-1.0799857341073802E-2</v>
      </c>
      <c r="C231">
        <v>875.61372580764612</v>
      </c>
      <c r="D231">
        <v>-9.9772159544008598E-3</v>
      </c>
      <c r="G231" s="50">
        <v>875.61372580764612</v>
      </c>
      <c r="H231">
        <v>-1.2317273070707801E-2</v>
      </c>
      <c r="I231" s="50">
        <v>875.61372580764612</v>
      </c>
      <c r="J231">
        <v>-7.4152200173650496E-3</v>
      </c>
      <c r="L231">
        <v>875.61372580764612</v>
      </c>
      <c r="M231">
        <f t="shared" si="12"/>
        <v>0.99885199003189984</v>
      </c>
      <c r="N231">
        <f t="shared" si="13"/>
        <v>0.99914665555197746</v>
      </c>
      <c r="O231">
        <f t="shared" si="14"/>
        <v>0.99970508281397907</v>
      </c>
      <c r="P231">
        <f t="shared" si="15"/>
        <v>-2.5619959370358101E-3</v>
      </c>
      <c r="S231">
        <v>875.61372580764612</v>
      </c>
      <c r="T231">
        <v>0</v>
      </c>
      <c r="U231">
        <v>875.61372580764612</v>
      </c>
      <c r="V231">
        <v>-2.22699071634338E-2</v>
      </c>
    </row>
    <row r="232" spans="1:22" x14ac:dyDescent="0.3">
      <c r="A232">
        <v>863.5759454664169</v>
      </c>
      <c r="B232">
        <v>-1.0799819868483902E-2</v>
      </c>
      <c r="C232">
        <v>863.5759454664169</v>
      </c>
      <c r="D232">
        <v>-9.9805953426401767E-3</v>
      </c>
      <c r="G232" s="50">
        <v>863.5759454664169</v>
      </c>
      <c r="H232">
        <v>-1.2288273389404801E-2</v>
      </c>
      <c r="I232" s="50">
        <v>863.5759454664169</v>
      </c>
      <c r="J232">
        <v>-7.3996782592122218E-3</v>
      </c>
      <c r="L232">
        <v>863.5759454664169</v>
      </c>
      <c r="M232">
        <f t="shared" si="12"/>
        <v>0.99885160141217855</v>
      </c>
      <c r="N232">
        <f t="shared" si="13"/>
        <v>0.99914844333771047</v>
      </c>
      <c r="O232">
        <f t="shared" si="14"/>
        <v>0.99970290508131077</v>
      </c>
      <c r="P232">
        <f t="shared" si="15"/>
        <v>-2.5809170834279549E-3</v>
      </c>
      <c r="S232">
        <v>863.5759454664169</v>
      </c>
      <c r="T232">
        <v>0</v>
      </c>
      <c r="U232">
        <v>863.5759454664169</v>
      </c>
      <c r="V232">
        <v>-2.2041467312476505E-2</v>
      </c>
    </row>
    <row r="233" spans="1:22" x14ac:dyDescent="0.3">
      <c r="A233">
        <v>851.70365836869473</v>
      </c>
      <c r="B233">
        <v>-1.07889152369815E-2</v>
      </c>
      <c r="C233">
        <v>851.70365836869473</v>
      </c>
      <c r="D233">
        <v>-9.9939668754652992E-3</v>
      </c>
      <c r="G233" s="50">
        <v>851.70365836869473</v>
      </c>
      <c r="H233">
        <v>-1.2310578567818101E-2</v>
      </c>
      <c r="I233" s="50">
        <v>851.70365836869473</v>
      </c>
      <c r="J233">
        <v>-7.4021735793792579E-3</v>
      </c>
      <c r="L233">
        <v>851.70365836869473</v>
      </c>
      <c r="M233">
        <f t="shared" si="12"/>
        <v>0.99885006372666185</v>
      </c>
      <c r="N233">
        <f t="shared" si="13"/>
        <v>0.99914815629803977</v>
      </c>
      <c r="O233">
        <f t="shared" si="14"/>
        <v>0.99970165328385097</v>
      </c>
      <c r="P233">
        <f t="shared" si="15"/>
        <v>-2.5917932960860413E-3</v>
      </c>
      <c r="S233">
        <v>851.70365836869473</v>
      </c>
      <c r="T233">
        <v>0</v>
      </c>
      <c r="U233">
        <v>851.70365836869473</v>
      </c>
      <c r="V233">
        <v>-2.1857938436710401E-2</v>
      </c>
    </row>
    <row r="234" spans="1:22" x14ac:dyDescent="0.3">
      <c r="A234">
        <v>839.99458934307302</v>
      </c>
      <c r="B234">
        <v>-1.0803603808464599E-2</v>
      </c>
      <c r="C234">
        <v>839.99458934307302</v>
      </c>
      <c r="D234">
        <v>-9.9890018900431199E-3</v>
      </c>
      <c r="G234" s="50">
        <v>839.99458934307302</v>
      </c>
      <c r="H234">
        <v>-1.2318941815803199E-2</v>
      </c>
      <c r="I234" s="50">
        <v>839.99458934307302</v>
      </c>
      <c r="J234">
        <v>-7.4290708387899397E-3</v>
      </c>
      <c r="L234">
        <v>839.99458934307302</v>
      </c>
      <c r="M234">
        <f t="shared" si="12"/>
        <v>0.99885063468457502</v>
      </c>
      <c r="N234">
        <f t="shared" si="13"/>
        <v>0.9991450622792738</v>
      </c>
      <c r="O234">
        <f t="shared" si="14"/>
        <v>0.99970532047265781</v>
      </c>
      <c r="P234">
        <f t="shared" si="15"/>
        <v>-2.5599310512531802E-3</v>
      </c>
      <c r="S234">
        <v>839.99458934307302</v>
      </c>
      <c r="T234">
        <v>0</v>
      </c>
      <c r="U234">
        <v>839.99458934307302</v>
      </c>
      <c r="V234">
        <v>-2.1573899396003099E-2</v>
      </c>
    </row>
    <row r="235" spans="1:22" x14ac:dyDescent="0.3">
      <c r="A235">
        <v>828.44649449679105</v>
      </c>
      <c r="B235">
        <v>-1.0803624290348498E-2</v>
      </c>
      <c r="C235">
        <v>828.44649449679105</v>
      </c>
      <c r="D235">
        <v>-9.9967494657237643E-3</v>
      </c>
      <c r="G235" s="50">
        <v>828.44649449679105</v>
      </c>
      <c r="H235">
        <v>-1.23199997110921E-2</v>
      </c>
      <c r="I235" s="50">
        <v>828.44649449679105</v>
      </c>
      <c r="J235">
        <v>-7.4105759619693904E-3</v>
      </c>
      <c r="L235">
        <v>828.44649449679105</v>
      </c>
      <c r="M235">
        <f t="shared" si="12"/>
        <v>0.99884974373756141</v>
      </c>
      <c r="N235">
        <f t="shared" si="13"/>
        <v>0.99914718976250194</v>
      </c>
      <c r="O235">
        <f t="shared" si="14"/>
        <v>0.99970230009353156</v>
      </c>
      <c r="P235">
        <f t="shared" si="15"/>
        <v>-2.5861735037543739E-3</v>
      </c>
      <c r="S235">
        <v>828.44649449679105</v>
      </c>
      <c r="T235">
        <v>0</v>
      </c>
      <c r="U235">
        <v>828.44649449679105</v>
      </c>
      <c r="V235">
        <v>-2.12661337189388E-2</v>
      </c>
    </row>
    <row r="236" spans="1:22" x14ac:dyDescent="0.3">
      <c r="A236">
        <v>817.05716078572402</v>
      </c>
      <c r="B236">
        <v>-1.0808283641200303E-2</v>
      </c>
      <c r="C236">
        <v>817.05716078572402</v>
      </c>
      <c r="D236">
        <v>-1.0002856029179998E-2</v>
      </c>
      <c r="G236" s="50">
        <v>817.05716078572402</v>
      </c>
      <c r="H236">
        <v>-1.2312164192671402E-2</v>
      </c>
      <c r="I236" s="50">
        <v>817.05716078572402</v>
      </c>
      <c r="J236">
        <v>-7.4080454390153296E-3</v>
      </c>
      <c r="L236">
        <v>817.05716078572402</v>
      </c>
      <c r="M236">
        <f t="shared" si="12"/>
        <v>0.99884904150238996</v>
      </c>
      <c r="N236">
        <f t="shared" si="13"/>
        <v>0.99914748085131055</v>
      </c>
      <c r="O236">
        <f t="shared" si="14"/>
        <v>0.99970130600873219</v>
      </c>
      <c r="P236">
        <f t="shared" si="15"/>
        <v>-2.5948105901646683E-3</v>
      </c>
      <c r="S236">
        <v>817.05716078572402</v>
      </c>
      <c r="T236">
        <v>0</v>
      </c>
      <c r="U236">
        <v>817.05716078572402</v>
      </c>
      <c r="V236">
        <v>-2.1146693281878001E-2</v>
      </c>
    </row>
    <row r="237" spans="1:22" x14ac:dyDescent="0.3">
      <c r="A237">
        <v>805.824405590281</v>
      </c>
      <c r="B237">
        <v>-1.08011347584105E-2</v>
      </c>
      <c r="C237">
        <v>805.824405590281</v>
      </c>
      <c r="D237">
        <v>-9.9887303793096977E-3</v>
      </c>
      <c r="G237" s="50">
        <v>805.824405590281</v>
      </c>
      <c r="H237">
        <v>-1.23047007849857E-2</v>
      </c>
      <c r="I237" s="50">
        <v>805.824405590281</v>
      </c>
      <c r="J237">
        <v>-7.3963422480287488E-3</v>
      </c>
      <c r="L237">
        <v>805.824405590281</v>
      </c>
      <c r="M237">
        <f t="shared" si="12"/>
        <v>0.99885066590747629</v>
      </c>
      <c r="N237">
        <f t="shared" si="13"/>
        <v>0.99914882708320585</v>
      </c>
      <c r="O237">
        <f t="shared" si="14"/>
        <v>0.99970158482135241</v>
      </c>
      <c r="P237">
        <f t="shared" si="15"/>
        <v>-2.5923881312809489E-3</v>
      </c>
      <c r="S237">
        <v>805.824405590281</v>
      </c>
      <c r="T237">
        <v>0</v>
      </c>
      <c r="U237">
        <v>805.824405590281</v>
      </c>
      <c r="V237">
        <v>-2.0562762096915294E-2</v>
      </c>
    </row>
    <row r="238" spans="1:22" x14ac:dyDescent="0.3">
      <c r="A238">
        <v>794.74607629713205</v>
      </c>
      <c r="B238">
        <v>-1.0810241539532299E-2</v>
      </c>
      <c r="C238">
        <v>794.74607629713205</v>
      </c>
      <c r="D238">
        <v>-9.9903350902482684E-3</v>
      </c>
      <c r="G238" s="50">
        <v>794.74607629713205</v>
      </c>
      <c r="H238">
        <v>-1.2288032687365901E-2</v>
      </c>
      <c r="I238" s="50">
        <v>794.74607629713205</v>
      </c>
      <c r="J238">
        <v>-7.3743808172373002E-3</v>
      </c>
      <c r="L238">
        <v>794.74607629713205</v>
      </c>
      <c r="M238">
        <f t="shared" si="12"/>
        <v>0.99885048137065746</v>
      </c>
      <c r="N238">
        <f t="shared" si="13"/>
        <v>0.99915135333744909</v>
      </c>
      <c r="O238">
        <f t="shared" si="14"/>
        <v>0.99969887248234557</v>
      </c>
      <c r="P238">
        <f t="shared" si="15"/>
        <v>-2.6159542730109682E-3</v>
      </c>
      <c r="S238">
        <v>794.74607629713205</v>
      </c>
      <c r="T238">
        <v>0</v>
      </c>
      <c r="U238">
        <v>794.74607629713205</v>
      </c>
      <c r="V238">
        <v>-2.0133018054877997E-2</v>
      </c>
    </row>
    <row r="239" spans="1:22" x14ac:dyDescent="0.3">
      <c r="A239">
        <v>783.820049886692</v>
      </c>
      <c r="B239">
        <v>-1.08034393472877E-2</v>
      </c>
      <c r="C239">
        <v>783.820049886692</v>
      </c>
      <c r="D239">
        <v>-9.9941806832979218E-3</v>
      </c>
      <c r="G239" s="50">
        <v>783.820049886692</v>
      </c>
      <c r="H239">
        <v>-1.2311392982829199E-2</v>
      </c>
      <c r="I239" s="50">
        <v>783.820049886692</v>
      </c>
      <c r="J239">
        <v>-7.3904960024440804E-3</v>
      </c>
      <c r="L239">
        <v>783.820049886692</v>
      </c>
      <c r="M239">
        <f t="shared" si="12"/>
        <v>0.99885003913943204</v>
      </c>
      <c r="N239">
        <f t="shared" si="13"/>
        <v>0.99914949958442634</v>
      </c>
      <c r="O239">
        <f t="shared" si="14"/>
        <v>0.99970028464697336</v>
      </c>
      <c r="P239">
        <f t="shared" si="15"/>
        <v>-2.6036846808538414E-3</v>
      </c>
      <c r="S239">
        <v>783.820049886692</v>
      </c>
      <c r="T239">
        <v>0</v>
      </c>
      <c r="U239">
        <v>783.820049886692</v>
      </c>
      <c r="V239">
        <v>-2.0320172361493905E-2</v>
      </c>
    </row>
    <row r="240" spans="1:22" x14ac:dyDescent="0.3">
      <c r="A240">
        <v>773.04423252626304</v>
      </c>
      <c r="B240">
        <v>-1.0795422947631498E-2</v>
      </c>
      <c r="C240">
        <v>773.04423252626304</v>
      </c>
      <c r="D240">
        <v>-1.00076646142092E-2</v>
      </c>
      <c r="G240" s="50">
        <v>773.04423252626304</v>
      </c>
      <c r="H240">
        <v>-1.2287693499976602E-2</v>
      </c>
      <c r="I240" s="50">
        <v>773.04423252626304</v>
      </c>
      <c r="J240">
        <v>-7.383588672161147E-3</v>
      </c>
      <c r="L240">
        <v>773.04423252626304</v>
      </c>
      <c r="M240">
        <f t="shared" si="12"/>
        <v>0.99884848853091335</v>
      </c>
      <c r="N240">
        <f t="shared" si="13"/>
        <v>0.99915029414418122</v>
      </c>
      <c r="O240">
        <f t="shared" si="14"/>
        <v>0.99969793772264626</v>
      </c>
      <c r="P240">
        <f t="shared" si="15"/>
        <v>-2.6240759420480533E-3</v>
      </c>
      <c r="S240">
        <v>773.04423252626304</v>
      </c>
      <c r="T240">
        <v>0</v>
      </c>
      <c r="U240">
        <v>773.04423252626304</v>
      </c>
      <c r="V240">
        <v>-1.9553566190381799E-2</v>
      </c>
    </row>
    <row r="241" spans="1:22" x14ac:dyDescent="0.3">
      <c r="A241">
        <v>762.41655916878801</v>
      </c>
      <c r="B241">
        <v>-1.0793448710289297E-2</v>
      </c>
      <c r="C241">
        <v>762.41655916878801</v>
      </c>
      <c r="D241">
        <v>-9.9851832249571726E-3</v>
      </c>
      <c r="G241" s="50">
        <v>762.41655916878801</v>
      </c>
      <c r="H241">
        <v>-1.2306914671326198E-2</v>
      </c>
      <c r="I241" s="50">
        <v>762.41655916878801</v>
      </c>
      <c r="J241">
        <v>-7.3819142994506091E-3</v>
      </c>
      <c r="L241">
        <v>762.41655916878801</v>
      </c>
      <c r="M241">
        <f t="shared" si="12"/>
        <v>0.99885107381942972</v>
      </c>
      <c r="N241">
        <f t="shared" si="13"/>
        <v>0.99915048674968454</v>
      </c>
      <c r="O241">
        <f t="shared" si="14"/>
        <v>0.99970033249823176</v>
      </c>
      <c r="P241">
        <f t="shared" si="15"/>
        <v>-2.6032689255065635E-3</v>
      </c>
      <c r="S241">
        <v>762.41655916878801</v>
      </c>
      <c r="T241">
        <v>0</v>
      </c>
      <c r="U241">
        <v>762.41655916878801</v>
      </c>
      <c r="V241">
        <v>-1.9541517216452999E-2</v>
      </c>
    </row>
    <row r="242" spans="1:22" x14ac:dyDescent="0.3">
      <c r="A242">
        <v>751.93499315710403</v>
      </c>
      <c r="B242">
        <v>-1.0802969536739799E-2</v>
      </c>
      <c r="C242">
        <v>751.93499315710403</v>
      </c>
      <c r="D242">
        <v>-9.9791958412654702E-3</v>
      </c>
      <c r="G242" s="50">
        <v>751.93499315710403</v>
      </c>
      <c r="H242">
        <v>-1.2295132381520701E-2</v>
      </c>
      <c r="I242" s="50">
        <v>751.93499315710403</v>
      </c>
      <c r="J242">
        <v>-7.4004749973853512E-3</v>
      </c>
      <c r="L242">
        <v>751.93499315710403</v>
      </c>
      <c r="M242">
        <f t="shared" si="12"/>
        <v>0.99885176235070749</v>
      </c>
      <c r="N242">
        <f t="shared" si="13"/>
        <v>0.99914835168795402</v>
      </c>
      <c r="O242">
        <f t="shared" si="14"/>
        <v>0.99970315785764396</v>
      </c>
      <c r="P242">
        <f t="shared" si="15"/>
        <v>-2.5787208438801191E-3</v>
      </c>
      <c r="S242">
        <v>751.93499315710403</v>
      </c>
      <c r="T242">
        <v>0</v>
      </c>
      <c r="U242">
        <v>751.93499315710403</v>
      </c>
      <c r="V242">
        <v>-1.9135012366120901E-2</v>
      </c>
    </row>
    <row r="243" spans="1:22" x14ac:dyDescent="0.3">
      <c r="A243">
        <v>741.597525833644</v>
      </c>
      <c r="B243">
        <v>-1.0787550450340301E-2</v>
      </c>
      <c r="C243">
        <v>741.597525833644</v>
      </c>
      <c r="D243">
        <v>-9.9825108103494108E-3</v>
      </c>
      <c r="G243" s="50">
        <v>741.597525833644</v>
      </c>
      <c r="H243">
        <v>-1.2293316675790701E-2</v>
      </c>
      <c r="I243" s="50">
        <v>741.597525833644</v>
      </c>
      <c r="J243">
        <v>-7.3849181156778717E-3</v>
      </c>
      <c r="L243">
        <v>741.597525833644</v>
      </c>
      <c r="M243">
        <f t="shared" si="12"/>
        <v>0.99885138113908523</v>
      </c>
      <c r="N243">
        <f t="shared" si="13"/>
        <v>0.99915014121640566</v>
      </c>
      <c r="O243">
        <f t="shared" si="14"/>
        <v>0.99970098580283773</v>
      </c>
      <c r="P243">
        <f t="shared" si="15"/>
        <v>-2.5975926946715392E-3</v>
      </c>
      <c r="S243">
        <v>741.597525833644</v>
      </c>
      <c r="T243">
        <v>0</v>
      </c>
      <c r="U243">
        <v>741.597525833644</v>
      </c>
      <c r="V243">
        <v>-1.8953887267969094E-2</v>
      </c>
    </row>
    <row r="244" spans="1:22" x14ac:dyDescent="0.3">
      <c r="A244">
        <v>731.40217615550785</v>
      </c>
      <c r="B244">
        <v>-1.07844519715024E-2</v>
      </c>
      <c r="C244">
        <v>731.40217615550785</v>
      </c>
      <c r="D244">
        <v>-9.9877840785617608E-3</v>
      </c>
      <c r="G244" s="50">
        <v>731.40217615550785</v>
      </c>
      <c r="H244">
        <v>-1.2299938915170401E-2</v>
      </c>
      <c r="I244" s="50">
        <v>731.40217615550785</v>
      </c>
      <c r="J244">
        <v>-7.3900752481409274E-3</v>
      </c>
      <c r="L244">
        <v>731.40217615550785</v>
      </c>
      <c r="M244">
        <f t="shared" si="12"/>
        <v>0.99885077472916539</v>
      </c>
      <c r="N244">
        <f t="shared" si="13"/>
        <v>0.99914954798435784</v>
      </c>
      <c r="O244">
        <f t="shared" si="14"/>
        <v>0.99970097243621314</v>
      </c>
      <c r="P244">
        <f t="shared" si="15"/>
        <v>-2.5977088304208334E-3</v>
      </c>
      <c r="S244">
        <v>731.40217615550785</v>
      </c>
      <c r="T244">
        <v>0</v>
      </c>
      <c r="U244">
        <v>731.40217615550785</v>
      </c>
      <c r="V244">
        <v>-1.8681022660587101E-2</v>
      </c>
    </row>
    <row r="245" spans="1:22" x14ac:dyDescent="0.3">
      <c r="A245">
        <v>721.346990314815</v>
      </c>
      <c r="B245">
        <v>-1.0799546528972099E-2</v>
      </c>
      <c r="C245">
        <v>721.346990314815</v>
      </c>
      <c r="D245">
        <v>-9.9949227438083602E-3</v>
      </c>
      <c r="G245" s="50">
        <v>721.346990314815</v>
      </c>
      <c r="H245">
        <v>-1.2289952862023799E-2</v>
      </c>
      <c r="I245" s="50">
        <v>721.346990314815</v>
      </c>
      <c r="J245">
        <v>-7.3828096511633409E-3</v>
      </c>
      <c r="L245">
        <v>721.346990314815</v>
      </c>
      <c r="M245">
        <f t="shared" si="12"/>
        <v>0.99884995380480657</v>
      </c>
      <c r="N245">
        <f t="shared" si="13"/>
        <v>0.99915038375608334</v>
      </c>
      <c r="O245">
        <f t="shared" si="14"/>
        <v>0.9996993145815074</v>
      </c>
      <c r="P245">
        <f t="shared" si="15"/>
        <v>-2.6121130926450194E-3</v>
      </c>
      <c r="S245">
        <v>721.346990314815</v>
      </c>
      <c r="T245">
        <v>0</v>
      </c>
      <c r="U245">
        <v>721.346990314815</v>
      </c>
      <c r="V245">
        <v>-1.83974500521344E-2</v>
      </c>
    </row>
    <row r="246" spans="1:22" x14ac:dyDescent="0.3">
      <c r="A246">
        <v>711.4300413642859</v>
      </c>
      <c r="B246">
        <v>-1.0814750233479E-2</v>
      </c>
      <c r="C246">
        <v>711.4300413642859</v>
      </c>
      <c r="D246">
        <v>-9.9929292605659796E-3</v>
      </c>
      <c r="G246" s="50">
        <v>711.4300413642859</v>
      </c>
      <c r="H246">
        <v>-1.2273608998884897E-2</v>
      </c>
      <c r="I246" s="50">
        <v>711.4300413642859</v>
      </c>
      <c r="J246">
        <v>-7.3787188906170725E-3</v>
      </c>
      <c r="L246">
        <v>711.4300413642859</v>
      </c>
      <c r="M246">
        <f t="shared" si="12"/>
        <v>0.99885018304912787</v>
      </c>
      <c r="N246">
        <f t="shared" si="13"/>
        <v>0.99915085432226625</v>
      </c>
      <c r="O246">
        <f t="shared" si="14"/>
        <v>0.9996990731961668</v>
      </c>
      <c r="P246">
        <f t="shared" si="15"/>
        <v>-2.6142103699489071E-3</v>
      </c>
      <c r="S246">
        <v>711.4300413642859</v>
      </c>
      <c r="T246">
        <v>0</v>
      </c>
      <c r="U246">
        <v>711.4300413642859</v>
      </c>
      <c r="V246">
        <v>-1.7765147957390995E-2</v>
      </c>
    </row>
    <row r="247" spans="1:22" x14ac:dyDescent="0.3">
      <c r="A247">
        <v>701.64942884796801</v>
      </c>
      <c r="B247">
        <v>-1.0799313346338799E-2</v>
      </c>
      <c r="C247">
        <v>701.64942884796801</v>
      </c>
      <c r="D247">
        <v>-9.9876663917562013E-3</v>
      </c>
      <c r="G247" s="50">
        <v>701.64942884796801</v>
      </c>
      <c r="H247">
        <v>-1.22901013714801E-2</v>
      </c>
      <c r="I247" s="50">
        <v>701.64942884796801</v>
      </c>
      <c r="J247">
        <v>-7.3765348268224618E-3</v>
      </c>
      <c r="L247">
        <v>701.64942884796801</v>
      </c>
      <c r="M247">
        <f t="shared" si="12"/>
        <v>0.99885078826278884</v>
      </c>
      <c r="N247">
        <f t="shared" si="13"/>
        <v>0.99915110555841724</v>
      </c>
      <c r="O247">
        <f t="shared" si="14"/>
        <v>0.99969942755008956</v>
      </c>
      <c r="P247">
        <f t="shared" si="15"/>
        <v>-2.6111315649337396E-3</v>
      </c>
      <c r="S247">
        <v>701.64942884796801</v>
      </c>
      <c r="T247">
        <v>0</v>
      </c>
      <c r="U247">
        <v>701.64942884796801</v>
      </c>
      <c r="V247">
        <v>-1.7983544119317699E-2</v>
      </c>
    </row>
    <row r="248" spans="1:22" x14ac:dyDescent="0.3">
      <c r="A248">
        <v>692.00327843703087</v>
      </c>
      <c r="B248">
        <v>-1.0800423303161799E-2</v>
      </c>
      <c r="C248">
        <v>692.00327843703087</v>
      </c>
      <c r="D248">
        <v>-9.9938585002915682E-3</v>
      </c>
      <c r="G248" s="50">
        <v>692.00327843703087</v>
      </c>
      <c r="H248">
        <v>-1.2303672034259101E-2</v>
      </c>
      <c r="I248" s="50">
        <v>692.00327843703087</v>
      </c>
      <c r="J248">
        <v>-7.3724026864606992E-3</v>
      </c>
      <c r="L248">
        <v>692.00327843703087</v>
      </c>
      <c r="M248">
        <f t="shared" si="12"/>
        <v>0.99885007618946697</v>
      </c>
      <c r="N248">
        <f t="shared" si="13"/>
        <v>0.99915158088492562</v>
      </c>
      <c r="O248">
        <f t="shared" si="14"/>
        <v>0.99969823928498258</v>
      </c>
      <c r="P248">
        <f t="shared" si="15"/>
        <v>-2.621455813830869E-3</v>
      </c>
      <c r="S248">
        <v>692.00327843703087</v>
      </c>
      <c r="T248">
        <v>0</v>
      </c>
      <c r="U248">
        <v>692.00327843703087</v>
      </c>
      <c r="V248">
        <v>-1.7710317335001901E-2</v>
      </c>
    </row>
    <row r="249" spans="1:22" x14ac:dyDescent="0.3">
      <c r="A249">
        <v>682.48974157058683</v>
      </c>
      <c r="B249">
        <v>-1.07969288369384E-2</v>
      </c>
      <c r="C249">
        <v>682.48974157058683</v>
      </c>
      <c r="D249">
        <v>-9.9723490043810096E-3</v>
      </c>
      <c r="G249" s="50">
        <v>682.48974157058683</v>
      </c>
      <c r="H249">
        <v>-1.22919298588537E-2</v>
      </c>
      <c r="I249" s="50">
        <v>682.48974157058683</v>
      </c>
      <c r="J249">
        <v>-7.3606939135487806E-3</v>
      </c>
      <c r="L249">
        <v>682.48974157058683</v>
      </c>
      <c r="M249">
        <f t="shared" si="12"/>
        <v>0.99885254971712245</v>
      </c>
      <c r="N249">
        <f t="shared" si="13"/>
        <v>0.99915292776444387</v>
      </c>
      <c r="O249">
        <f t="shared" si="14"/>
        <v>0.99969936729506115</v>
      </c>
      <c r="P249">
        <f t="shared" si="15"/>
        <v>-2.6116550908322289E-3</v>
      </c>
      <c r="S249">
        <v>682.48974157058683</v>
      </c>
      <c r="T249">
        <v>0</v>
      </c>
      <c r="U249">
        <v>682.48974157058683</v>
      </c>
      <c r="V249">
        <v>-1.7597107244739601E-2</v>
      </c>
    </row>
    <row r="250" spans="1:22" x14ac:dyDescent="0.3">
      <c r="A250">
        <v>673.10699510142797</v>
      </c>
      <c r="B250">
        <v>-1.08046066612092E-2</v>
      </c>
      <c r="C250">
        <v>673.10699510142797</v>
      </c>
      <c r="D250">
        <v>-9.991697207454648E-3</v>
      </c>
      <c r="G250" s="50">
        <v>673.10699510142797</v>
      </c>
      <c r="H250">
        <v>-1.2297632200801697E-2</v>
      </c>
      <c r="I250" s="50">
        <v>673.10699510142797</v>
      </c>
      <c r="J250">
        <v>-7.3460499370395695E-3</v>
      </c>
      <c r="L250">
        <v>673.10699510142797</v>
      </c>
      <c r="M250">
        <f t="shared" si="12"/>
        <v>0.99885032473139801</v>
      </c>
      <c r="N250">
        <f t="shared" si="13"/>
        <v>0.99915461228784286</v>
      </c>
      <c r="O250">
        <f t="shared" si="14"/>
        <v>0.99969545498494161</v>
      </c>
      <c r="P250">
        <f t="shared" si="15"/>
        <v>-2.6456472704150785E-3</v>
      </c>
      <c r="S250">
        <v>673.10699510142797</v>
      </c>
      <c r="T250">
        <v>0</v>
      </c>
      <c r="U250">
        <v>673.10699510142797</v>
      </c>
      <c r="V250">
        <v>-1.7376468153258898E-2</v>
      </c>
    </row>
    <row r="251" spans="1:22" x14ac:dyDescent="0.3">
      <c r="A251">
        <v>663.853240946646</v>
      </c>
      <c r="B251">
        <v>-1.0783717177594101E-2</v>
      </c>
      <c r="C251">
        <v>663.853240946646</v>
      </c>
      <c r="D251">
        <v>-9.9819167557546051E-3</v>
      </c>
      <c r="G251" s="50">
        <v>663.853240946646</v>
      </c>
      <c r="H251">
        <v>-1.22886166436608E-2</v>
      </c>
      <c r="I251" s="50">
        <v>663.853240946646</v>
      </c>
      <c r="J251">
        <v>-7.3616937805326904E-3</v>
      </c>
      <c r="L251">
        <v>663.853240946646</v>
      </c>
      <c r="M251">
        <f t="shared" si="12"/>
        <v>0.99885144945359272</v>
      </c>
      <c r="N251">
        <f t="shared" si="13"/>
        <v>0.99915281274801948</v>
      </c>
      <c r="O251">
        <f t="shared" si="14"/>
        <v>0.99969838117795229</v>
      </c>
      <c r="P251">
        <f t="shared" si="15"/>
        <v>-2.6202229752219147E-3</v>
      </c>
      <c r="S251">
        <v>663.853240946646</v>
      </c>
      <c r="T251">
        <v>0</v>
      </c>
      <c r="U251">
        <v>663.853240946646</v>
      </c>
      <c r="V251">
        <v>-1.70309410422647E-2</v>
      </c>
    </row>
    <row r="252" spans="1:22" x14ac:dyDescent="0.3">
      <c r="A252">
        <v>654.72670574305801</v>
      </c>
      <c r="B252">
        <v>-1.07890268177777E-2</v>
      </c>
      <c r="C252">
        <v>654.72670574305801</v>
      </c>
      <c r="D252">
        <v>-9.97418479632174E-3</v>
      </c>
      <c r="G252" s="50">
        <v>654.72670574305801</v>
      </c>
      <c r="H252">
        <v>-1.2285554238877901E-2</v>
      </c>
      <c r="I252" s="50">
        <v>654.72670574305801</v>
      </c>
      <c r="J252">
        <v>-7.3643628432221182E-3</v>
      </c>
      <c r="L252">
        <v>654.72670574305801</v>
      </c>
      <c r="M252">
        <f t="shared" si="12"/>
        <v>0.99885233860630429</v>
      </c>
      <c r="N252">
        <f t="shared" si="13"/>
        <v>0.99915250572119862</v>
      </c>
      <c r="O252">
        <f t="shared" si="14"/>
        <v>0.99969957827941625</v>
      </c>
      <c r="P252">
        <f t="shared" si="15"/>
        <v>-2.6098219530996218E-3</v>
      </c>
      <c r="S252">
        <v>654.72670574305801</v>
      </c>
      <c r="T252">
        <v>0</v>
      </c>
      <c r="U252">
        <v>654.72670574305801</v>
      </c>
      <c r="V252">
        <v>-1.67189515327664E-2</v>
      </c>
    </row>
    <row r="253" spans="1:22" x14ac:dyDescent="0.3">
      <c r="A253">
        <v>645.72564050735502</v>
      </c>
      <c r="B253">
        <v>-1.0790761154682001E-2</v>
      </c>
      <c r="C253">
        <v>645.72564050735502</v>
      </c>
      <c r="D253">
        <v>-9.9687881020857905E-3</v>
      </c>
      <c r="G253" s="50">
        <v>645.72564050735502</v>
      </c>
      <c r="H253">
        <v>-1.22941830556963E-2</v>
      </c>
      <c r="I253" s="50">
        <v>645.72564050735502</v>
      </c>
      <c r="J253">
        <v>-7.3739676117403818E-3</v>
      </c>
      <c r="L253">
        <v>645.72564050735502</v>
      </c>
      <c r="M253">
        <f t="shared" si="12"/>
        <v>0.99885295921082018</v>
      </c>
      <c r="N253">
        <f t="shared" si="13"/>
        <v>0.99915140086911935</v>
      </c>
      <c r="O253">
        <f t="shared" si="14"/>
        <v>0.99970130486927244</v>
      </c>
      <c r="P253">
        <f t="shared" si="15"/>
        <v>-2.5948204903454087E-3</v>
      </c>
      <c r="S253">
        <v>645.72564050735502</v>
      </c>
      <c r="T253">
        <v>0</v>
      </c>
      <c r="U253">
        <v>645.72564050735502</v>
      </c>
      <c r="V253">
        <v>-1.6195650277268197E-2</v>
      </c>
    </row>
    <row r="254" spans="1:22" x14ac:dyDescent="0.3">
      <c r="A254">
        <v>636.84832030093901</v>
      </c>
      <c r="B254">
        <v>-1.0793542844950099E-2</v>
      </c>
      <c r="C254">
        <v>636.84832030093901</v>
      </c>
      <c r="D254">
        <v>-9.9755630704306403E-3</v>
      </c>
      <c r="G254" s="50">
        <v>636.84832030093901</v>
      </c>
      <c r="H254">
        <v>-1.2295229299321102E-2</v>
      </c>
      <c r="I254" s="50">
        <v>636.84832030093901</v>
      </c>
      <c r="J254">
        <v>-7.3720829362304997E-3</v>
      </c>
      <c r="L254">
        <v>636.84832030093901</v>
      </c>
      <c r="M254">
        <f t="shared" si="12"/>
        <v>0.99885218010875643</v>
      </c>
      <c r="N254">
        <f t="shared" si="13"/>
        <v>0.99915161766629956</v>
      </c>
      <c r="O254">
        <f t="shared" si="14"/>
        <v>0.99970030818921907</v>
      </c>
      <c r="P254">
        <f t="shared" si="15"/>
        <v>-2.6034801342001406E-3</v>
      </c>
      <c r="S254">
        <v>636.84832030093901</v>
      </c>
      <c r="T254">
        <v>0</v>
      </c>
      <c r="U254">
        <v>636.84832030093901</v>
      </c>
      <c r="V254">
        <v>-1.6030406753429802E-2</v>
      </c>
    </row>
    <row r="255" spans="1:22" x14ac:dyDescent="0.3">
      <c r="A255">
        <v>628.09304389935801</v>
      </c>
      <c r="B255">
        <v>-1.07824337871162E-2</v>
      </c>
      <c r="C255">
        <v>628.09304389935801</v>
      </c>
      <c r="D255">
        <v>-9.9878480090181479E-3</v>
      </c>
      <c r="G255" s="50">
        <v>628.09304389935801</v>
      </c>
      <c r="H255">
        <v>-1.2280403358383598E-2</v>
      </c>
      <c r="I255" s="50">
        <v>628.09304389935801</v>
      </c>
      <c r="J255">
        <v>-7.3712366073274494E-3</v>
      </c>
      <c r="L255">
        <v>628.09304389935801</v>
      </c>
      <c r="M255">
        <f t="shared" si="12"/>
        <v>0.99885076737735834</v>
      </c>
      <c r="N255">
        <f t="shared" si="13"/>
        <v>0.99915171502085609</v>
      </c>
      <c r="O255">
        <f t="shared" si="14"/>
        <v>0.99969879685039476</v>
      </c>
      <c r="P255">
        <f t="shared" si="15"/>
        <v>-2.6166114016906985E-3</v>
      </c>
      <c r="S255">
        <v>628.09304389935801</v>
      </c>
      <c r="T255">
        <v>0</v>
      </c>
      <c r="U255">
        <v>628.09304389935801</v>
      </c>
      <c r="V255">
        <v>-1.5760890570447803E-2</v>
      </c>
    </row>
    <row r="256" spans="1:22" x14ac:dyDescent="0.3">
      <c r="A256">
        <v>619.45813346629006</v>
      </c>
      <c r="B256">
        <v>-1.0780969552034799E-2</v>
      </c>
      <c r="C256">
        <v>619.45813346629006</v>
      </c>
      <c r="D256">
        <v>-9.9640157801977446E-3</v>
      </c>
      <c r="G256" s="50">
        <v>619.45813346629006</v>
      </c>
      <c r="H256">
        <v>-1.22924207211007E-2</v>
      </c>
      <c r="I256" s="50">
        <v>619.45813346629006</v>
      </c>
      <c r="J256">
        <v>-7.3676315266529091E-3</v>
      </c>
      <c r="L256">
        <v>619.45813346629006</v>
      </c>
      <c r="M256">
        <f t="shared" si="12"/>
        <v>0.99885350801460959</v>
      </c>
      <c r="N256">
        <f t="shared" si="13"/>
        <v>0.99915212971911216</v>
      </c>
      <c r="O256">
        <f t="shared" si="14"/>
        <v>0.99970112488817242</v>
      </c>
      <c r="P256">
        <f t="shared" si="15"/>
        <v>-2.5963842535448355E-3</v>
      </c>
      <c r="S256">
        <v>619.45813346629006</v>
      </c>
      <c r="T256">
        <v>0</v>
      </c>
      <c r="U256">
        <v>619.45813346629006</v>
      </c>
      <c r="V256">
        <v>-1.5686331848598901E-2</v>
      </c>
    </row>
    <row r="257" spans="1:22" x14ac:dyDescent="0.3">
      <c r="A257">
        <v>610.94193423200204</v>
      </c>
      <c r="B257">
        <v>-1.0770357985058101E-2</v>
      </c>
      <c r="C257">
        <v>610.94193423200204</v>
      </c>
      <c r="D257">
        <v>-9.9483575888874593E-3</v>
      </c>
      <c r="G257" s="50">
        <v>610.94193423200204</v>
      </c>
      <c r="H257">
        <v>-1.2292331192833102E-2</v>
      </c>
      <c r="I257" s="50">
        <v>610.94193423200204</v>
      </c>
      <c r="J257">
        <v>-7.369981437349871E-3</v>
      </c>
      <c r="L257">
        <v>610.94193423200204</v>
      </c>
      <c r="M257">
        <f t="shared" si="12"/>
        <v>0.99885530866532801</v>
      </c>
      <c r="N257">
        <f t="shared" si="13"/>
        <v>0.99915185940506746</v>
      </c>
      <c r="O257">
        <f t="shared" si="14"/>
        <v>0.99970319753003711</v>
      </c>
      <c r="P257">
        <f t="shared" si="15"/>
        <v>-2.5783761515375883E-3</v>
      </c>
      <c r="S257">
        <v>610.94193423200204</v>
      </c>
      <c r="T257">
        <v>0</v>
      </c>
      <c r="U257">
        <v>610.94193423200204</v>
      </c>
      <c r="V257">
        <v>-1.5575211853786203E-2</v>
      </c>
    </row>
    <row r="258" spans="1:22" x14ac:dyDescent="0.3">
      <c r="A258">
        <v>602.54281417624088</v>
      </c>
      <c r="B258">
        <v>-1.0768718980363098E-2</v>
      </c>
      <c r="C258">
        <v>602.54281417624088</v>
      </c>
      <c r="D258">
        <v>-9.9649613716466072E-3</v>
      </c>
      <c r="G258" s="50">
        <v>602.54281417624088</v>
      </c>
      <c r="H258">
        <v>-1.22974029273062E-2</v>
      </c>
      <c r="I258" s="50">
        <v>602.54281417624088</v>
      </c>
      <c r="J258">
        <v>-7.3498818706654312E-3</v>
      </c>
      <c r="L258">
        <v>602.54281417624088</v>
      </c>
      <c r="M258">
        <f t="shared" si="12"/>
        <v>0.99885339927419015</v>
      </c>
      <c r="N258">
        <f t="shared" si="13"/>
        <v>0.99915417149323571</v>
      </c>
      <c r="O258">
        <f t="shared" si="14"/>
        <v>0.99969897316387513</v>
      </c>
      <c r="P258">
        <f t="shared" si="15"/>
        <v>-2.615079500981176E-3</v>
      </c>
      <c r="S258">
        <v>602.54281417624088</v>
      </c>
      <c r="T258">
        <v>0</v>
      </c>
      <c r="U258">
        <v>602.54281417624088</v>
      </c>
      <c r="V258">
        <v>-1.5551478166969401E-2</v>
      </c>
    </row>
    <row r="259" spans="1:22" x14ac:dyDescent="0.3">
      <c r="A259">
        <v>594.25916371547396</v>
      </c>
      <c r="B259">
        <v>-1.07697148440255E-2</v>
      </c>
      <c r="C259">
        <v>594.25916371547396</v>
      </c>
      <c r="D259">
        <v>-9.9580735255334393E-3</v>
      </c>
      <c r="G259" s="50">
        <v>594.25916371547396</v>
      </c>
      <c r="H259">
        <v>-1.2299625256457799E-2</v>
      </c>
      <c r="I259" s="50">
        <v>594.25916371547396</v>
      </c>
      <c r="J259">
        <v>-7.3664800581326592E-3</v>
      </c>
      <c r="L259">
        <v>594.25916371547396</v>
      </c>
      <c r="M259">
        <f t="shared" si="12"/>
        <v>0.99885419135784737</v>
      </c>
      <c r="N259">
        <f t="shared" si="13"/>
        <v>0.9991522621744332</v>
      </c>
      <c r="O259">
        <f t="shared" si="14"/>
        <v>0.99970167628311513</v>
      </c>
      <c r="P259">
        <f t="shared" si="15"/>
        <v>-2.5915934674007801E-3</v>
      </c>
      <c r="S259">
        <v>594.25916371547396</v>
      </c>
      <c r="T259">
        <v>0</v>
      </c>
      <c r="U259">
        <v>594.25916371547396</v>
      </c>
      <c r="V259">
        <v>-1.4948744397486302E-2</v>
      </c>
    </row>
    <row r="260" spans="1:22" x14ac:dyDescent="0.3">
      <c r="A260">
        <v>586.089395394436</v>
      </c>
      <c r="B260">
        <v>-1.07955941242823E-2</v>
      </c>
      <c r="C260">
        <v>586.089395394436</v>
      </c>
      <c r="D260">
        <v>-9.9690374686365671E-3</v>
      </c>
      <c r="G260" s="50">
        <v>586.089395394436</v>
      </c>
      <c r="H260">
        <v>-1.2279390552493299E-2</v>
      </c>
      <c r="I260" s="50">
        <v>586.089395394436</v>
      </c>
      <c r="J260">
        <v>-7.3454018683953579E-3</v>
      </c>
      <c r="L260">
        <v>586.089395394436</v>
      </c>
      <c r="M260">
        <f t="shared" si="12"/>
        <v>0.99885293053436619</v>
      </c>
      <c r="N260">
        <f t="shared" si="13"/>
        <v>0.99915468683642983</v>
      </c>
      <c r="O260">
        <f t="shared" si="14"/>
        <v>0.99969798840355839</v>
      </c>
      <c r="P260">
        <f t="shared" si="15"/>
        <v>-2.6236356002412092E-3</v>
      </c>
      <c r="S260">
        <v>586.089395394436</v>
      </c>
      <c r="T260">
        <v>0</v>
      </c>
      <c r="U260">
        <v>586.089395394436</v>
      </c>
      <c r="V260">
        <v>-1.5274198948873196E-2</v>
      </c>
    </row>
    <row r="261" spans="1:22" x14ac:dyDescent="0.3">
      <c r="A261">
        <v>578.03194358191001</v>
      </c>
      <c r="B261">
        <v>-1.0766485236393199E-2</v>
      </c>
      <c r="C261">
        <v>578.03194358191001</v>
      </c>
      <c r="D261">
        <v>-9.973501357130753E-3</v>
      </c>
      <c r="G261" s="50">
        <v>578.03194358191001</v>
      </c>
      <c r="H261">
        <v>-1.23021308751751E-2</v>
      </c>
      <c r="I261" s="50">
        <v>578.03194358191001</v>
      </c>
      <c r="J261">
        <v>-7.3653225604565437E-3</v>
      </c>
      <c r="L261">
        <v>578.03194358191001</v>
      </c>
      <c r="M261">
        <f t="shared" ref="M261:M324" si="16">10^(D261/20)</f>
        <v>0.99885241719984974</v>
      </c>
      <c r="N261">
        <f t="shared" ref="N261:N324" si="17">10^(J261/20)</f>
        <v>0.99915239532331557</v>
      </c>
      <c r="O261">
        <f t="shared" ref="O261:O324" si="18">M261/N261</f>
        <v>0.99969976739797661</v>
      </c>
      <c r="P261">
        <f t="shared" ref="P261:P324" si="19">D261-J261</f>
        <v>-2.6081787966742093E-3</v>
      </c>
      <c r="S261">
        <v>578.03194358191001</v>
      </c>
      <c r="T261">
        <v>0</v>
      </c>
      <c r="U261">
        <v>578.03194358191001</v>
      </c>
      <c r="V261">
        <v>-1.49872260815869E-2</v>
      </c>
    </row>
    <row r="262" spans="1:22" x14ac:dyDescent="0.3">
      <c r="A262">
        <v>570.08526417069402</v>
      </c>
      <c r="B262">
        <v>-1.0794532466454499E-2</v>
      </c>
      <c r="C262">
        <v>570.08526417069402</v>
      </c>
      <c r="D262">
        <v>-9.9727078789889276E-3</v>
      </c>
      <c r="G262" s="50">
        <v>570.08526417069402</v>
      </c>
      <c r="H262">
        <v>-1.2289209777530898E-2</v>
      </c>
      <c r="I262" s="50">
        <v>570.08526417069402</v>
      </c>
      <c r="J262">
        <v>-7.3561238317423217E-3</v>
      </c>
      <c r="L262">
        <v>570.08526417069402</v>
      </c>
      <c r="M262">
        <f t="shared" si="16"/>
        <v>0.99885250844756612</v>
      </c>
      <c r="N262">
        <f t="shared" si="17"/>
        <v>0.99915345346900708</v>
      </c>
      <c r="O262">
        <f t="shared" si="18"/>
        <v>0.99969879999874289</v>
      </c>
      <c r="P262">
        <f t="shared" si="19"/>
        <v>-2.6165840472466059E-3</v>
      </c>
      <c r="S262">
        <v>570.08526417069402</v>
      </c>
      <c r="T262">
        <v>0</v>
      </c>
      <c r="U262">
        <v>570.08526417069402</v>
      </c>
      <c r="V262">
        <v>-1.4617352307595899E-2</v>
      </c>
    </row>
    <row r="263" spans="1:22" x14ac:dyDescent="0.3">
      <c r="A263">
        <v>562.24783428169997</v>
      </c>
      <c r="B263">
        <v>-1.0755858362996902E-2</v>
      </c>
      <c r="C263">
        <v>562.24783428169997</v>
      </c>
      <c r="D263">
        <v>-9.9732955668181099E-3</v>
      </c>
      <c r="G263" s="50">
        <v>562.24783428169997</v>
      </c>
      <c r="H263">
        <v>-1.2288285569492798E-2</v>
      </c>
      <c r="I263" s="50">
        <v>562.24783428169997</v>
      </c>
      <c r="J263">
        <v>-7.3439467245366421E-3</v>
      </c>
      <c r="L263">
        <v>562.24783428169997</v>
      </c>
      <c r="M263">
        <f t="shared" si="16"/>
        <v>0.99885244086514613</v>
      </c>
      <c r="N263">
        <f t="shared" si="17"/>
        <v>0.99915485422445671</v>
      </c>
      <c r="O263">
        <f t="shared" si="18"/>
        <v>0.99969733084112844</v>
      </c>
      <c r="P263">
        <f t="shared" si="19"/>
        <v>-2.6293488422814678E-3</v>
      </c>
      <c r="S263">
        <v>562.24783428169997</v>
      </c>
      <c r="T263">
        <v>0</v>
      </c>
      <c r="U263">
        <v>562.24783428169997</v>
      </c>
      <c r="V263">
        <v>-1.46478630329625E-2</v>
      </c>
    </row>
    <row r="264" spans="1:22" x14ac:dyDescent="0.3">
      <c r="A264">
        <v>554.51815197210396</v>
      </c>
      <c r="B264">
        <v>-1.0762563018782201E-2</v>
      </c>
      <c r="C264">
        <v>554.51815197210396</v>
      </c>
      <c r="D264">
        <v>-9.9694945340075298E-3</v>
      </c>
      <c r="G264" s="50">
        <v>554.51815197210396</v>
      </c>
      <c r="H264">
        <v>-1.2304322529766099E-2</v>
      </c>
      <c r="I264" s="50">
        <v>554.51815197210396</v>
      </c>
      <c r="J264">
        <v>-7.3503193218615107E-3</v>
      </c>
      <c r="L264">
        <v>554.51815197210396</v>
      </c>
      <c r="M264">
        <f t="shared" si="16"/>
        <v>0.99885287797313282</v>
      </c>
      <c r="N264">
        <f t="shared" si="17"/>
        <v>0.99915412117240543</v>
      </c>
      <c r="O264">
        <f t="shared" si="18"/>
        <v>0.99969850176975783</v>
      </c>
      <c r="P264">
        <f t="shared" si="19"/>
        <v>-2.6191752121460191E-3</v>
      </c>
      <c r="S264">
        <v>554.51815197210396</v>
      </c>
      <c r="T264">
        <v>0</v>
      </c>
      <c r="U264">
        <v>554.51815197210396</v>
      </c>
      <c r="V264">
        <v>-1.4321218362738398E-2</v>
      </c>
    </row>
    <row r="265" spans="1:22" x14ac:dyDescent="0.3">
      <c r="A265">
        <v>546.89473594752303</v>
      </c>
      <c r="B265">
        <v>-1.0768675492511899E-2</v>
      </c>
      <c r="C265">
        <v>546.89473594752303</v>
      </c>
      <c r="D265">
        <v>-9.9941878273292085E-3</v>
      </c>
      <c r="G265" s="50">
        <v>546.89473594752303</v>
      </c>
      <c r="H265">
        <v>-1.2279477919350501E-2</v>
      </c>
      <c r="I265" s="50">
        <v>546.89473594752303</v>
      </c>
      <c r="J265">
        <v>-7.3368443521360715E-3</v>
      </c>
      <c r="L265">
        <v>546.89473594752303</v>
      </c>
      <c r="M265">
        <f t="shared" si="16"/>
        <v>0.99885003831789076</v>
      </c>
      <c r="N265">
        <f t="shared" si="17"/>
        <v>0.99915567122456361</v>
      </c>
      <c r="O265">
        <f t="shared" si="18"/>
        <v>0.99969410882060228</v>
      </c>
      <c r="P265">
        <f t="shared" si="19"/>
        <v>-2.657343475193137E-3</v>
      </c>
      <c r="S265">
        <v>546.89473594752303</v>
      </c>
      <c r="T265">
        <v>0</v>
      </c>
      <c r="U265">
        <v>546.89473594752303</v>
      </c>
      <c r="V265">
        <v>-1.4173785825562399E-2</v>
      </c>
    </row>
    <row r="266" spans="1:22" x14ac:dyDescent="0.3">
      <c r="A266">
        <v>539.37612527814497</v>
      </c>
      <c r="B266">
        <v>-1.07676263902916E-2</v>
      </c>
      <c r="C266">
        <v>539.37612527814497</v>
      </c>
      <c r="D266">
        <v>-9.9732717667376392E-3</v>
      </c>
      <c r="G266" s="50">
        <v>539.37612527814497</v>
      </c>
      <c r="H266">
        <v>-1.22815019371362E-2</v>
      </c>
      <c r="I266" s="50">
        <v>539.37612527814497</v>
      </c>
      <c r="J266">
        <v>-7.3626115090615904E-3</v>
      </c>
      <c r="L266">
        <v>539.37612527814497</v>
      </c>
      <c r="M266">
        <f t="shared" si="16"/>
        <v>0.99885244360208714</v>
      </c>
      <c r="N266">
        <f t="shared" si="17"/>
        <v>0.99915270718013527</v>
      </c>
      <c r="O266">
        <f t="shared" si="18"/>
        <v>0.99969948179503454</v>
      </c>
      <c r="P266">
        <f t="shared" si="19"/>
        <v>-2.6106602576760488E-3</v>
      </c>
      <c r="S266">
        <v>539.37612527814497</v>
      </c>
      <c r="T266">
        <v>0</v>
      </c>
      <c r="U266">
        <v>539.37612527814497</v>
      </c>
      <c r="V266">
        <v>-1.3838714268899798E-2</v>
      </c>
    </row>
    <row r="267" spans="1:22" x14ac:dyDescent="0.3">
      <c r="A267">
        <v>531.96087911875804</v>
      </c>
      <c r="B267">
        <v>-1.0765650373041301E-2</v>
      </c>
      <c r="C267">
        <v>531.96087911875804</v>
      </c>
      <c r="D267">
        <v>-9.9570005239072185E-3</v>
      </c>
      <c r="G267" s="50">
        <v>531.96087911875804</v>
      </c>
      <c r="H267">
        <v>-1.23126234469642E-2</v>
      </c>
      <c r="I267" s="50">
        <v>531.96087911875804</v>
      </c>
      <c r="J267">
        <v>-7.3588725811674586E-3</v>
      </c>
      <c r="L267">
        <v>531.96087911875804</v>
      </c>
      <c r="M267">
        <f t="shared" si="16"/>
        <v>0.99885431475018627</v>
      </c>
      <c r="N267">
        <f t="shared" si="17"/>
        <v>0.99915313727548372</v>
      </c>
      <c r="O267">
        <f t="shared" si="18"/>
        <v>0.9997009241985545</v>
      </c>
      <c r="P267">
        <f t="shared" si="19"/>
        <v>-2.5981279427397599E-3</v>
      </c>
      <c r="S267">
        <v>531.96087911875804</v>
      </c>
      <c r="T267">
        <v>0</v>
      </c>
      <c r="U267">
        <v>531.96087911875804</v>
      </c>
      <c r="V267">
        <v>-1.35291712346657E-2</v>
      </c>
    </row>
    <row r="268" spans="1:22" x14ac:dyDescent="0.3">
      <c r="A268">
        <v>524.64757643263101</v>
      </c>
      <c r="B268">
        <v>-1.0750871332220099E-2</v>
      </c>
      <c r="C268">
        <v>524.64757643263101</v>
      </c>
      <c r="D268">
        <v>-9.9699194956007885E-3</v>
      </c>
      <c r="G268" s="50">
        <v>524.64757643263101</v>
      </c>
      <c r="H268">
        <v>-1.22731911054788E-2</v>
      </c>
      <c r="I268" s="50">
        <v>524.64757643263101</v>
      </c>
      <c r="J268">
        <v>-7.3549618487574299E-3</v>
      </c>
      <c r="L268">
        <v>524.64757643263101</v>
      </c>
      <c r="M268">
        <f t="shared" si="16"/>
        <v>0.99885282910374606</v>
      </c>
      <c r="N268">
        <f t="shared" si="17"/>
        <v>0.99915358713400138</v>
      </c>
      <c r="O268">
        <f t="shared" si="18"/>
        <v>0.99969898718862826</v>
      </c>
      <c r="P268">
        <f t="shared" si="19"/>
        <v>-2.6149576468433586E-3</v>
      </c>
      <c r="S268">
        <v>524.64757643263101</v>
      </c>
      <c r="T268">
        <v>0</v>
      </c>
      <c r="U268">
        <v>524.64757643263101</v>
      </c>
      <c r="V268">
        <v>-1.3457343787251799E-2</v>
      </c>
    </row>
    <row r="269" spans="1:22" x14ac:dyDescent="0.3">
      <c r="A269">
        <v>517.43481571919096</v>
      </c>
      <c r="B269">
        <v>-1.0734595685883698E-2</v>
      </c>
      <c r="C269">
        <v>517.43481571919096</v>
      </c>
      <c r="D269">
        <v>-9.9548903025520313E-3</v>
      </c>
      <c r="G269" s="50">
        <v>517.43481571919096</v>
      </c>
      <c r="H269">
        <v>-1.2296246741446899E-2</v>
      </c>
      <c r="I269" s="50">
        <v>517.43481571919096</v>
      </c>
      <c r="J269">
        <v>-7.3592765282816507E-3</v>
      </c>
      <c r="L269">
        <v>517.43481571919096</v>
      </c>
      <c r="M269">
        <f t="shared" si="16"/>
        <v>0.99885455742008522</v>
      </c>
      <c r="N269">
        <f t="shared" si="17"/>
        <v>0.99915309080873915</v>
      </c>
      <c r="O269">
        <f t="shared" si="18"/>
        <v>0.99970121356636921</v>
      </c>
      <c r="P269">
        <f t="shared" si="19"/>
        <v>-2.5956137742703805E-3</v>
      </c>
      <c r="S269">
        <v>517.43481571919096</v>
      </c>
      <c r="T269">
        <v>0</v>
      </c>
      <c r="U269">
        <v>517.43481571919096</v>
      </c>
      <c r="V269">
        <v>-1.3070743664513905E-2</v>
      </c>
    </row>
    <row r="270" spans="1:22" x14ac:dyDescent="0.3">
      <c r="A270">
        <v>510.32121474544306</v>
      </c>
      <c r="B270">
        <v>-1.07439270751472E-2</v>
      </c>
      <c r="C270">
        <v>510.32121474544306</v>
      </c>
      <c r="D270">
        <v>-9.9523358077759361E-3</v>
      </c>
      <c r="G270" s="50">
        <v>510.32121474544306</v>
      </c>
      <c r="H270">
        <v>-1.2274938219879399E-2</v>
      </c>
      <c r="I270" s="50">
        <v>510.32121474544306</v>
      </c>
      <c r="J270">
        <v>-7.358163479432701E-3</v>
      </c>
      <c r="L270">
        <v>510.32121474544306</v>
      </c>
      <c r="M270">
        <f t="shared" si="16"/>
        <v>0.9988548511803369</v>
      </c>
      <c r="N270">
        <f t="shared" si="17"/>
        <v>0.99915321884470487</v>
      </c>
      <c r="O270">
        <f t="shared" si="18"/>
        <v>0.99970137946939408</v>
      </c>
      <c r="P270">
        <f t="shared" si="19"/>
        <v>-2.594172328343235E-3</v>
      </c>
      <c r="S270">
        <v>510.32121474544306</v>
      </c>
      <c r="T270">
        <v>0</v>
      </c>
      <c r="U270">
        <v>510.32121474544306</v>
      </c>
      <c r="V270">
        <v>-1.28685452907007E-2</v>
      </c>
    </row>
    <row r="271" spans="1:22" x14ac:dyDescent="0.3">
      <c r="A271">
        <v>503.30541028108496</v>
      </c>
      <c r="B271">
        <v>-1.0761153935556702E-2</v>
      </c>
      <c r="C271">
        <v>503.30541028108496</v>
      </c>
      <c r="D271">
        <v>-9.9778457437546004E-3</v>
      </c>
      <c r="G271" s="50">
        <v>503.30541028108496</v>
      </c>
      <c r="H271">
        <v>-1.2284892235265202E-2</v>
      </c>
      <c r="I271" s="50">
        <v>503.30541028108496</v>
      </c>
      <c r="J271">
        <v>-7.3504194993349609E-3</v>
      </c>
      <c r="L271">
        <v>503.30541028108496</v>
      </c>
      <c r="M271">
        <f t="shared" si="16"/>
        <v>0.99885191760796244</v>
      </c>
      <c r="N271">
        <f t="shared" si="17"/>
        <v>0.99915410964880347</v>
      </c>
      <c r="O271">
        <f t="shared" si="18"/>
        <v>0.99969755212141675</v>
      </c>
      <c r="P271">
        <f t="shared" si="19"/>
        <v>-2.6274262444196395E-3</v>
      </c>
      <c r="S271">
        <v>503.30541028108496</v>
      </c>
      <c r="T271">
        <v>0</v>
      </c>
      <c r="U271">
        <v>503.30541028108496</v>
      </c>
      <c r="V271">
        <v>-1.2544253974908801E-2</v>
      </c>
    </row>
    <row r="272" spans="1:22" x14ac:dyDescent="0.3">
      <c r="A272">
        <v>496.38605783725694</v>
      </c>
      <c r="B272">
        <v>-1.07176349906063E-2</v>
      </c>
      <c r="C272">
        <v>496.38605783725694</v>
      </c>
      <c r="D272">
        <v>-9.9297766696673107E-3</v>
      </c>
      <c r="G272" s="50">
        <v>496.38605783725694</v>
      </c>
      <c r="H272">
        <v>-1.22694326640623E-2</v>
      </c>
      <c r="I272" s="50">
        <v>496.38605783725694</v>
      </c>
      <c r="J272">
        <v>-7.3522891190350402E-3</v>
      </c>
      <c r="L272">
        <v>496.38605783725694</v>
      </c>
      <c r="M272">
        <f t="shared" si="16"/>
        <v>0.99885744542626198</v>
      </c>
      <c r="N272">
        <f t="shared" si="17"/>
        <v>0.99915389458298032</v>
      </c>
      <c r="O272">
        <f t="shared" si="18"/>
        <v>0.99970329980363826</v>
      </c>
      <c r="P272">
        <f t="shared" si="19"/>
        <v>-2.5774875506322705E-3</v>
      </c>
      <c r="S272">
        <v>496.38605783725694</v>
      </c>
      <c r="T272">
        <v>0</v>
      </c>
      <c r="U272">
        <v>496.38605783725694</v>
      </c>
      <c r="V272">
        <v>-1.24123735910189E-2</v>
      </c>
    </row>
    <row r="273" spans="1:22" x14ac:dyDescent="0.3">
      <c r="A273">
        <v>489.56183140889402</v>
      </c>
      <c r="B273">
        <v>-1.0735160730345101E-2</v>
      </c>
      <c r="C273">
        <v>489.56183140889402</v>
      </c>
      <c r="D273">
        <v>-9.96472100997693E-3</v>
      </c>
      <c r="G273" s="50">
        <v>489.56183140889402</v>
      </c>
      <c r="H273">
        <v>-1.2285292761113E-2</v>
      </c>
      <c r="I273" s="50">
        <v>489.56183140889402</v>
      </c>
      <c r="J273">
        <v>-7.3673585075629579E-3</v>
      </c>
      <c r="L273">
        <v>489.56183140889402</v>
      </c>
      <c r="M273">
        <f t="shared" si="16"/>
        <v>0.99885342691512091</v>
      </c>
      <c r="N273">
        <f t="shared" si="17"/>
        <v>0.99915216112494631</v>
      </c>
      <c r="O273">
        <f t="shared" si="18"/>
        <v>0.99970101229677666</v>
      </c>
      <c r="P273">
        <f t="shared" si="19"/>
        <v>-2.5973625024139722E-3</v>
      </c>
      <c r="S273">
        <v>489.56183140889402</v>
      </c>
      <c r="T273">
        <v>0</v>
      </c>
      <c r="U273">
        <v>489.56183140889402</v>
      </c>
      <c r="V273">
        <v>-1.2267583882589901E-2</v>
      </c>
    </row>
    <row r="274" spans="1:22" x14ac:dyDescent="0.3">
      <c r="A274">
        <v>482.83142322061002</v>
      </c>
      <c r="B274">
        <v>-1.07428672507457E-2</v>
      </c>
      <c r="C274">
        <v>482.83142322061002</v>
      </c>
      <c r="D274">
        <v>-9.9533145400728627E-3</v>
      </c>
      <c r="G274" s="50">
        <v>482.83142322061002</v>
      </c>
      <c r="H274">
        <v>-1.2284254268182899E-2</v>
      </c>
      <c r="I274" s="50">
        <v>482.83142322061002</v>
      </c>
      <c r="J274">
        <v>-7.3568600061914508E-3</v>
      </c>
      <c r="L274">
        <v>482.83142322061002</v>
      </c>
      <c r="M274">
        <f t="shared" si="16"/>
        <v>0.99885473862865937</v>
      </c>
      <c r="N274">
        <f t="shared" si="17"/>
        <v>0.99915336878554406</v>
      </c>
      <c r="O274">
        <f t="shared" si="18"/>
        <v>0.9997011167992681</v>
      </c>
      <c r="P274">
        <f t="shared" si="19"/>
        <v>-2.5964545338814119E-3</v>
      </c>
      <c r="S274">
        <v>482.83142322061002</v>
      </c>
      <c r="T274">
        <v>0</v>
      </c>
      <c r="U274">
        <v>482.83142322061002</v>
      </c>
      <c r="V274">
        <v>-1.2147129726258799E-2</v>
      </c>
    </row>
    <row r="275" spans="1:22" x14ac:dyDescent="0.3">
      <c r="A275">
        <v>476.19354347607799</v>
      </c>
      <c r="B275">
        <v>-1.07408129631472E-2</v>
      </c>
      <c r="C275">
        <v>476.19354347607799</v>
      </c>
      <c r="D275">
        <v>-9.9604588323832805E-3</v>
      </c>
      <c r="G275" s="50">
        <v>476.19354347607799</v>
      </c>
      <c r="H275">
        <v>-1.2281913668676101E-2</v>
      </c>
      <c r="I275" s="50">
        <v>476.19354347607799</v>
      </c>
      <c r="J275">
        <v>-7.3629698706758513E-3</v>
      </c>
      <c r="L275">
        <v>476.19354347607799</v>
      </c>
      <c r="M275">
        <f t="shared" si="16"/>
        <v>0.99885391705394577</v>
      </c>
      <c r="N275">
        <f t="shared" si="17"/>
        <v>0.9991526659571881</v>
      </c>
      <c r="O275">
        <f t="shared" si="18"/>
        <v>0.99970099774196552</v>
      </c>
      <c r="P275">
        <f t="shared" si="19"/>
        <v>-2.5974889617074292E-3</v>
      </c>
      <c r="S275">
        <v>476.19354347607799</v>
      </c>
      <c r="T275">
        <v>0</v>
      </c>
      <c r="U275">
        <v>476.19354347607799</v>
      </c>
      <c r="V275">
        <v>-1.2358535237296998E-2</v>
      </c>
    </row>
    <row r="276" spans="1:22" x14ac:dyDescent="0.3">
      <c r="A276">
        <v>469.64692011086095</v>
      </c>
      <c r="B276">
        <v>-1.0717789252093501E-2</v>
      </c>
      <c r="C276">
        <v>469.64692011086095</v>
      </c>
      <c r="D276">
        <v>-9.9358977795287896E-3</v>
      </c>
      <c r="G276" s="50">
        <v>469.64692011086095</v>
      </c>
      <c r="H276">
        <v>-1.2285180165482398E-2</v>
      </c>
      <c r="I276" s="50">
        <v>469.64692011086095</v>
      </c>
      <c r="J276">
        <v>-7.3570983379019289E-3</v>
      </c>
      <c r="L276">
        <v>469.64692011086095</v>
      </c>
      <c r="M276">
        <f t="shared" si="16"/>
        <v>0.99885674151287385</v>
      </c>
      <c r="N276">
        <f t="shared" si="17"/>
        <v>0.99915334136982314</v>
      </c>
      <c r="O276">
        <f t="shared" si="18"/>
        <v>0.99970314881143008</v>
      </c>
      <c r="P276">
        <f t="shared" si="19"/>
        <v>-2.5787994416268606E-3</v>
      </c>
      <c r="S276">
        <v>469.64692011086095</v>
      </c>
      <c r="T276">
        <v>0</v>
      </c>
      <c r="U276">
        <v>469.64692011086095</v>
      </c>
      <c r="V276">
        <v>-1.23529201649148E-2</v>
      </c>
    </row>
    <row r="277" spans="1:22" x14ac:dyDescent="0.3">
      <c r="A277">
        <v>463.19029854863601</v>
      </c>
      <c r="B277">
        <v>-1.0717443044021399E-2</v>
      </c>
      <c r="C277">
        <v>463.19029854863601</v>
      </c>
      <c r="D277">
        <v>-9.9368067162100508E-3</v>
      </c>
      <c r="G277" s="50">
        <v>463.19029854863601</v>
      </c>
      <c r="H277">
        <v>-1.2277944690804E-2</v>
      </c>
      <c r="I277" s="50">
        <v>463.19029854863601</v>
      </c>
      <c r="J277">
        <v>-7.3457847074806107E-3</v>
      </c>
      <c r="L277">
        <v>463.19029854863601</v>
      </c>
      <c r="M277">
        <f t="shared" si="16"/>
        <v>0.9988566369873132</v>
      </c>
      <c r="N277">
        <f t="shared" si="17"/>
        <v>0.99915464279771027</v>
      </c>
      <c r="O277">
        <f t="shared" si="18"/>
        <v>0.99970174205510109</v>
      </c>
      <c r="P277">
        <f t="shared" si="19"/>
        <v>-2.59102200872944E-3</v>
      </c>
      <c r="S277">
        <v>463.19029854863601</v>
      </c>
      <c r="T277">
        <v>0</v>
      </c>
      <c r="U277">
        <v>463.19029854863601</v>
      </c>
      <c r="V277">
        <v>-1.1562300810396699E-2</v>
      </c>
    </row>
    <row r="278" spans="1:22" x14ac:dyDescent="0.3">
      <c r="A278">
        <v>456.82244146076999</v>
      </c>
      <c r="B278">
        <v>-1.0718541813822599E-2</v>
      </c>
      <c r="C278">
        <v>456.82244146076999</v>
      </c>
      <c r="D278">
        <v>-9.9526886808169804E-3</v>
      </c>
      <c r="G278" s="50">
        <v>456.82244146076999</v>
      </c>
      <c r="H278">
        <v>-1.2284031726489002E-2</v>
      </c>
      <c r="I278" s="50">
        <v>456.82244146076999</v>
      </c>
      <c r="J278">
        <v>-7.3811961193203397E-3</v>
      </c>
      <c r="L278">
        <v>456.82244146076999</v>
      </c>
      <c r="M278">
        <f t="shared" si="16"/>
        <v>0.99885481060085024</v>
      </c>
      <c r="N278">
        <f t="shared" si="17"/>
        <v>0.9991505693629904</v>
      </c>
      <c r="O278">
        <f t="shared" si="18"/>
        <v>0.99970398979772512</v>
      </c>
      <c r="P278">
        <f t="shared" si="19"/>
        <v>-2.5714925614966407E-3</v>
      </c>
      <c r="S278">
        <v>456.82244146076999</v>
      </c>
      <c r="T278">
        <v>0</v>
      </c>
      <c r="U278">
        <v>456.82244146076999</v>
      </c>
      <c r="V278">
        <v>-1.1614234725357199E-2</v>
      </c>
    </row>
    <row r="279" spans="1:22" x14ac:dyDescent="0.3">
      <c r="A279">
        <v>450.54212852920199</v>
      </c>
      <c r="B279">
        <v>-1.0748112933119301E-2</v>
      </c>
      <c r="C279">
        <v>450.54212852920199</v>
      </c>
      <c r="D279">
        <v>-9.9671223377207699E-3</v>
      </c>
      <c r="G279" s="50">
        <v>450.54212852920199</v>
      </c>
      <c r="H279">
        <v>-1.2262910711343502E-2</v>
      </c>
      <c r="I279" s="50">
        <v>450.54212852920199</v>
      </c>
      <c r="J279">
        <v>-7.3570000573470297E-3</v>
      </c>
      <c r="L279">
        <v>450.54212852920199</v>
      </c>
      <c r="M279">
        <f t="shared" si="16"/>
        <v>0.99885315076907089</v>
      </c>
      <c r="N279">
        <f t="shared" si="17"/>
        <v>0.99915335267521022</v>
      </c>
      <c r="O279">
        <f t="shared" si="18"/>
        <v>0.99969954371334935</v>
      </c>
      <c r="P279">
        <f t="shared" si="19"/>
        <v>-2.6101222803737402E-3</v>
      </c>
      <c r="S279">
        <v>450.54212852920199</v>
      </c>
      <c r="T279">
        <v>0</v>
      </c>
      <c r="U279">
        <v>450.54212852920199</v>
      </c>
      <c r="V279">
        <v>-1.1501895199217E-2</v>
      </c>
    </row>
    <row r="280" spans="1:22" x14ac:dyDescent="0.3">
      <c r="A280">
        <v>444.34815621258201</v>
      </c>
      <c r="B280">
        <v>-1.0726495822746899E-2</v>
      </c>
      <c r="C280">
        <v>444.34815621258201</v>
      </c>
      <c r="D280">
        <v>-9.9481643592068663E-3</v>
      </c>
      <c r="G280" s="50">
        <v>444.34815621258201</v>
      </c>
      <c r="H280">
        <v>-1.2262073404906301E-2</v>
      </c>
      <c r="I280" s="50">
        <v>444.34815621258201</v>
      </c>
      <c r="J280">
        <v>-7.3362488858544662E-3</v>
      </c>
      <c r="L280">
        <v>444.34815621258201</v>
      </c>
      <c r="M280">
        <f t="shared" si="16"/>
        <v>0.99885533088625233</v>
      </c>
      <c r="N280">
        <f t="shared" si="17"/>
        <v>0.99915573972227156</v>
      </c>
      <c r="O280">
        <f t="shared" si="18"/>
        <v>0.99969933732642846</v>
      </c>
      <c r="P280">
        <f t="shared" si="19"/>
        <v>-2.6119154733524001E-3</v>
      </c>
      <c r="S280">
        <v>444.34815621258201</v>
      </c>
      <c r="T280">
        <v>0</v>
      </c>
      <c r="U280">
        <v>444.34815621258201</v>
      </c>
      <c r="V280">
        <v>-1.11375888734528E-2</v>
      </c>
    </row>
    <row r="281" spans="1:22" x14ac:dyDescent="0.3">
      <c r="A281">
        <v>438.23933751563493</v>
      </c>
      <c r="B281">
        <v>-1.0718360195022899E-2</v>
      </c>
      <c r="C281">
        <v>438.23933751563493</v>
      </c>
      <c r="D281">
        <v>-9.9238563043378102E-3</v>
      </c>
      <c r="G281" s="50">
        <v>438.23933751563493</v>
      </c>
      <c r="H281">
        <v>-1.2269275322841201E-2</v>
      </c>
      <c r="I281" s="50">
        <v>438.23933751563493</v>
      </c>
      <c r="J281">
        <v>-7.3542283107810883E-3</v>
      </c>
      <c r="L281">
        <v>438.23933751563493</v>
      </c>
      <c r="M281">
        <f t="shared" si="16"/>
        <v>0.99885812625496817</v>
      </c>
      <c r="N281">
        <f t="shared" si="17"/>
        <v>0.99915367151420442</v>
      </c>
      <c r="O281">
        <f t="shared" si="18"/>
        <v>0.99970420440052199</v>
      </c>
      <c r="P281">
        <f t="shared" si="19"/>
        <v>-2.5696279935567218E-3</v>
      </c>
      <c r="S281">
        <v>438.23933751563493</v>
      </c>
      <c r="T281">
        <v>0</v>
      </c>
      <c r="U281">
        <v>438.23933751563493</v>
      </c>
      <c r="V281">
        <v>-1.1041312598081301E-2</v>
      </c>
    </row>
    <row r="282" spans="1:22" x14ac:dyDescent="0.3">
      <c r="A282">
        <v>432.21450176168088</v>
      </c>
      <c r="B282">
        <v>-1.07270344130644E-2</v>
      </c>
      <c r="C282">
        <v>432.21450176168088</v>
      </c>
      <c r="D282">
        <v>-9.9286328873160589E-3</v>
      </c>
      <c r="G282" s="50">
        <v>432.21450176168088</v>
      </c>
      <c r="H282">
        <v>-1.22460190166383E-2</v>
      </c>
      <c r="I282" s="50">
        <v>432.21450176168088</v>
      </c>
      <c r="J282">
        <v>-7.3282385840108162E-3</v>
      </c>
      <c r="L282">
        <v>432.21450176168088</v>
      </c>
      <c r="M282">
        <f t="shared" si="16"/>
        <v>0.99885757695862532</v>
      </c>
      <c r="N282">
        <f t="shared" si="17"/>
        <v>0.99915666116418345</v>
      </c>
      <c r="O282">
        <f t="shared" si="18"/>
        <v>0.99970066335222185</v>
      </c>
      <c r="P282">
        <f t="shared" si="19"/>
        <v>-2.6003943033052427E-3</v>
      </c>
      <c r="S282">
        <v>432.21450176168088</v>
      </c>
      <c r="T282">
        <v>0</v>
      </c>
      <c r="U282">
        <v>432.21450176168088</v>
      </c>
      <c r="V282">
        <v>-1.1010245429417899E-2</v>
      </c>
    </row>
    <row r="283" spans="1:22" x14ac:dyDescent="0.3">
      <c r="A283">
        <v>426.272494368293</v>
      </c>
      <c r="B283">
        <v>-1.0711592385274299E-2</v>
      </c>
      <c r="C283">
        <v>426.272494368293</v>
      </c>
      <c r="D283">
        <v>-9.8978813102629411E-3</v>
      </c>
      <c r="G283" s="50">
        <v>426.272494368293</v>
      </c>
      <c r="H283">
        <v>-1.2271110335362399E-2</v>
      </c>
      <c r="I283" s="50">
        <v>426.272494368293</v>
      </c>
      <c r="J283">
        <v>-7.3522763804187586E-3</v>
      </c>
      <c r="L283">
        <v>426.272494368293</v>
      </c>
      <c r="M283">
        <f t="shared" si="16"/>
        <v>0.99886111332638938</v>
      </c>
      <c r="N283">
        <f t="shared" si="17"/>
        <v>0.99915389604832694</v>
      </c>
      <c r="O283">
        <f t="shared" si="18"/>
        <v>0.99970696934366621</v>
      </c>
      <c r="P283">
        <f t="shared" si="19"/>
        <v>-2.5456049298441825E-3</v>
      </c>
      <c r="S283">
        <v>426.272494368293</v>
      </c>
      <c r="T283">
        <v>0</v>
      </c>
      <c r="U283">
        <v>426.272494368293</v>
      </c>
      <c r="V283">
        <v>-1.0848206651985501E-2</v>
      </c>
    </row>
    <row r="284" spans="1:22" x14ac:dyDescent="0.3">
      <c r="A284">
        <v>420.41217662603697</v>
      </c>
      <c r="B284">
        <v>-1.0744509786754598E-2</v>
      </c>
      <c r="C284">
        <v>420.41217662603697</v>
      </c>
      <c r="D284">
        <v>-9.9305731276973196E-3</v>
      </c>
      <c r="G284" s="50">
        <v>420.41217662603697</v>
      </c>
      <c r="H284">
        <v>-1.22775895983005E-2</v>
      </c>
      <c r="I284" s="50">
        <v>420.41217662603697</v>
      </c>
      <c r="J284">
        <v>-7.3636408200969993E-3</v>
      </c>
      <c r="L284">
        <v>420.41217662603697</v>
      </c>
      <c r="M284">
        <f t="shared" si="16"/>
        <v>0.99885735383541419</v>
      </c>
      <c r="N284">
        <f t="shared" si="17"/>
        <v>0.9991525887767374</v>
      </c>
      <c r="O284">
        <f t="shared" si="18"/>
        <v>0.99970451466108423</v>
      </c>
      <c r="P284">
        <f t="shared" si="19"/>
        <v>-2.5669323076003203E-3</v>
      </c>
      <c r="S284">
        <v>420.41217662603697</v>
      </c>
      <c r="T284">
        <v>0</v>
      </c>
      <c r="U284">
        <v>420.41217662603697</v>
      </c>
      <c r="V284">
        <v>-1.07871322522328E-2</v>
      </c>
    </row>
    <row r="285" spans="1:22" x14ac:dyDescent="0.3">
      <c r="A285">
        <v>414.63242548025102</v>
      </c>
      <c r="B285">
        <v>-1.0722080940990399E-2</v>
      </c>
      <c r="C285">
        <v>414.63242548025102</v>
      </c>
      <c r="D285">
        <v>-9.9301823895932909E-3</v>
      </c>
      <c r="G285" s="50">
        <v>414.63242548025102</v>
      </c>
      <c r="H285">
        <v>-1.22425859611842E-2</v>
      </c>
      <c r="I285" s="50">
        <v>414.63242548025102</v>
      </c>
      <c r="J285">
        <v>-7.3186951006457999E-3</v>
      </c>
      <c r="L285">
        <v>414.63242548025102</v>
      </c>
      <c r="M285">
        <f t="shared" si="16"/>
        <v>0.99885739876939927</v>
      </c>
      <c r="N285">
        <f t="shared" si="17"/>
        <v>0.99915775897230785</v>
      </c>
      <c r="O285">
        <f t="shared" si="18"/>
        <v>0.99969938660815938</v>
      </c>
      <c r="P285">
        <f t="shared" si="19"/>
        <v>-2.6114872889474909E-3</v>
      </c>
      <c r="S285">
        <v>414.63242548025102</v>
      </c>
      <c r="T285">
        <v>0</v>
      </c>
      <c r="U285">
        <v>414.63242548025102</v>
      </c>
      <c r="V285">
        <v>-1.0756233213044199E-2</v>
      </c>
    </row>
    <row r="286" spans="1:22" x14ac:dyDescent="0.3">
      <c r="A286">
        <v>408.93213331582797</v>
      </c>
      <c r="B286">
        <v>-1.07378228834356E-2</v>
      </c>
      <c r="C286">
        <v>408.93213331582797</v>
      </c>
      <c r="D286">
        <v>-9.9279945300732985E-3</v>
      </c>
      <c r="G286" s="50">
        <v>408.93213331582797</v>
      </c>
      <c r="H286">
        <v>-1.2245721053778899E-2</v>
      </c>
      <c r="I286" s="50">
        <v>408.93213331582797</v>
      </c>
      <c r="J286">
        <v>-7.3312708298066114E-3</v>
      </c>
      <c r="L286">
        <v>408.93213331582797</v>
      </c>
      <c r="M286">
        <f t="shared" si="16"/>
        <v>0.99885765036826091</v>
      </c>
      <c r="N286">
        <f t="shared" si="17"/>
        <v>0.99915631235845559</v>
      </c>
      <c r="O286">
        <f t="shared" si="18"/>
        <v>0.99970108581960548</v>
      </c>
      <c r="P286">
        <f t="shared" si="19"/>
        <v>-2.5967237002666871E-3</v>
      </c>
      <c r="S286">
        <v>408.93213331582797</v>
      </c>
      <c r="T286">
        <v>0</v>
      </c>
      <c r="U286">
        <v>408.93213331582797</v>
      </c>
      <c r="V286">
        <v>-1.0477711541852799E-2</v>
      </c>
    </row>
    <row r="287" spans="1:22" x14ac:dyDescent="0.3">
      <c r="A287">
        <v>403.31020774495397</v>
      </c>
      <c r="B287">
        <v>-1.0728893053046E-2</v>
      </c>
      <c r="C287">
        <v>403.31020774495397</v>
      </c>
      <c r="D287">
        <v>-9.9228319067522566E-3</v>
      </c>
      <c r="G287" s="50">
        <v>403.31020774495397</v>
      </c>
      <c r="H287">
        <v>-1.2232237219236998E-2</v>
      </c>
      <c r="I287" s="50">
        <v>403.31020774495397</v>
      </c>
      <c r="J287">
        <v>-7.3381648840104216E-3</v>
      </c>
      <c r="L287">
        <v>403.31020774495397</v>
      </c>
      <c r="M287">
        <f t="shared" si="16"/>
        <v>0.99885824405843504</v>
      </c>
      <c r="N287">
        <f t="shared" si="17"/>
        <v>0.99915551932108948</v>
      </c>
      <c r="O287">
        <f t="shared" si="18"/>
        <v>0.99970247348194963</v>
      </c>
      <c r="P287">
        <f t="shared" si="19"/>
        <v>-2.584667022741835E-3</v>
      </c>
      <c r="S287">
        <v>403.31020774495397</v>
      </c>
      <c r="T287">
        <v>0</v>
      </c>
      <c r="U287">
        <v>403.31020774495397</v>
      </c>
      <c r="V287">
        <v>-1.0577808612310899E-2</v>
      </c>
    </row>
    <row r="288" spans="1:22" x14ac:dyDescent="0.3">
      <c r="A288">
        <v>397.76557139776702</v>
      </c>
      <c r="B288">
        <v>-1.0712967654388001E-2</v>
      </c>
      <c r="C288">
        <v>397.76557139776702</v>
      </c>
      <c r="D288">
        <v>-9.9242283109682427E-3</v>
      </c>
      <c r="G288" s="50">
        <v>397.76557139776702</v>
      </c>
      <c r="H288">
        <v>-1.222247086519E-2</v>
      </c>
      <c r="I288" s="50">
        <v>397.76557139776702</v>
      </c>
      <c r="J288">
        <v>-7.3320478274595102E-3</v>
      </c>
      <c r="L288">
        <v>397.76557139776702</v>
      </c>
      <c r="M288">
        <f t="shared" si="16"/>
        <v>0.99885808347502825</v>
      </c>
      <c r="N288">
        <f t="shared" si="17"/>
        <v>0.99915622297877116</v>
      </c>
      <c r="O288">
        <f t="shared" si="18"/>
        <v>0.99970160872055214</v>
      </c>
      <c r="P288">
        <f t="shared" si="19"/>
        <v>-2.5921804835087325E-3</v>
      </c>
      <c r="S288">
        <v>397.76557139776702</v>
      </c>
      <c r="T288">
        <v>0</v>
      </c>
      <c r="U288">
        <v>397.76557139776702</v>
      </c>
      <c r="V288">
        <v>-1.03271226772677E-2</v>
      </c>
    </row>
    <row r="289" spans="1:22" x14ac:dyDescent="0.3">
      <c r="A289">
        <v>392.29716171589092</v>
      </c>
      <c r="B289">
        <v>-1.07099104511482E-2</v>
      </c>
      <c r="C289">
        <v>392.29716171589092</v>
      </c>
      <c r="D289">
        <v>-9.9203640204300475E-3</v>
      </c>
      <c r="G289" s="50">
        <v>392.29716171589092</v>
      </c>
      <c r="H289">
        <v>-1.2247150486377699E-2</v>
      </c>
      <c r="I289" s="50">
        <v>392.29716171589092</v>
      </c>
      <c r="J289">
        <v>-7.354881327965951E-3</v>
      </c>
      <c r="L289">
        <v>392.29716171589092</v>
      </c>
      <c r="M289">
        <f t="shared" si="16"/>
        <v>0.99885852785998575</v>
      </c>
      <c r="N289">
        <f t="shared" si="17"/>
        <v>0.99915359639645362</v>
      </c>
      <c r="O289">
        <f t="shared" si="18"/>
        <v>0.99970468150489367</v>
      </c>
      <c r="P289">
        <f t="shared" si="19"/>
        <v>-2.5654826924640965E-3</v>
      </c>
      <c r="S289">
        <v>392.29716171589092</v>
      </c>
      <c r="T289">
        <v>0</v>
      </c>
      <c r="U289">
        <v>392.29716171589092</v>
      </c>
      <c r="V289">
        <v>-9.85670356664059E-3</v>
      </c>
    </row>
    <row r="290" spans="1:22" x14ac:dyDescent="0.3">
      <c r="A290">
        <v>386.90393074881399</v>
      </c>
      <c r="B290">
        <v>-1.0706840259956898E-2</v>
      </c>
      <c r="C290">
        <v>386.90393074881399</v>
      </c>
      <c r="D290">
        <v>-9.9126918953808991E-3</v>
      </c>
      <c r="G290" s="50">
        <v>386.90393074881399</v>
      </c>
      <c r="H290">
        <v>-1.2254909813133499E-2</v>
      </c>
      <c r="I290" s="50">
        <v>386.90393074881399</v>
      </c>
      <c r="J290">
        <v>-7.3632271883362927E-3</v>
      </c>
      <c r="L290">
        <v>386.90393074881399</v>
      </c>
      <c r="M290">
        <f t="shared" si="16"/>
        <v>0.99885941013816748</v>
      </c>
      <c r="N290">
        <f t="shared" si="17"/>
        <v>0.99915263635750018</v>
      </c>
      <c r="O290">
        <f t="shared" si="18"/>
        <v>0.99970652510070768</v>
      </c>
      <c r="P290">
        <f t="shared" si="19"/>
        <v>-2.5494647070446064E-3</v>
      </c>
      <c r="S290">
        <v>386.90393074881399</v>
      </c>
      <c r="T290">
        <v>0</v>
      </c>
      <c r="U290">
        <v>386.90393074881399</v>
      </c>
      <c r="V290">
        <v>-9.8280271282646919E-3</v>
      </c>
    </row>
    <row r="291" spans="1:22" x14ac:dyDescent="0.3">
      <c r="A291">
        <v>381.584844953058</v>
      </c>
      <c r="B291">
        <v>-1.0700747475512799E-2</v>
      </c>
      <c r="C291">
        <v>381.584844953058</v>
      </c>
      <c r="D291">
        <v>-9.9047182576236705E-3</v>
      </c>
      <c r="G291" s="50">
        <v>381.584844953058</v>
      </c>
      <c r="H291">
        <v>-1.2251783667363601E-2</v>
      </c>
      <c r="I291" s="50">
        <v>381.584844953058</v>
      </c>
      <c r="J291">
        <v>-7.3408250122056805E-3</v>
      </c>
      <c r="L291">
        <v>381.584844953058</v>
      </c>
      <c r="M291">
        <f t="shared" si="16"/>
        <v>0.99886032709049999</v>
      </c>
      <c r="N291">
        <f t="shared" si="17"/>
        <v>0.99915521332118928</v>
      </c>
      <c r="O291">
        <f t="shared" si="18"/>
        <v>0.99970486444272344</v>
      </c>
      <c r="P291">
        <f t="shared" si="19"/>
        <v>-2.56389324541799E-3</v>
      </c>
      <c r="S291">
        <v>381.584844953058</v>
      </c>
      <c r="T291">
        <v>0</v>
      </c>
      <c r="U291">
        <v>381.584844953058</v>
      </c>
      <c r="V291">
        <v>-9.9309562439202567E-3</v>
      </c>
    </row>
    <row r="292" spans="1:22" x14ac:dyDescent="0.3">
      <c r="A292">
        <v>376.33888499411512</v>
      </c>
      <c r="B292">
        <v>-1.0694355145240499E-2</v>
      </c>
      <c r="C292">
        <v>376.33888499411512</v>
      </c>
      <c r="D292">
        <v>-9.9225582820313424E-3</v>
      </c>
      <c r="G292" s="50">
        <v>376.33888499411512</v>
      </c>
      <c r="H292">
        <v>-1.22699756853545E-2</v>
      </c>
      <c r="I292" s="50">
        <v>376.33888499411512</v>
      </c>
      <c r="J292">
        <v>-7.35289800909192E-3</v>
      </c>
      <c r="L292">
        <v>376.33888499411512</v>
      </c>
      <c r="M292">
        <f t="shared" si="16"/>
        <v>0.99885827552467799</v>
      </c>
      <c r="N292">
        <f t="shared" si="17"/>
        <v>0.99915382454123736</v>
      </c>
      <c r="O292">
        <f t="shared" si="18"/>
        <v>0.99970420068531984</v>
      </c>
      <c r="P292">
        <f t="shared" si="19"/>
        <v>-2.5696602729394225E-3</v>
      </c>
      <c r="S292">
        <v>376.33888499411512</v>
      </c>
      <c r="T292">
        <v>0</v>
      </c>
      <c r="U292">
        <v>376.33888499411512</v>
      </c>
      <c r="V292">
        <v>-9.7798637491450808E-3</v>
      </c>
    </row>
    <row r="293" spans="1:22" x14ac:dyDescent="0.3">
      <c r="A293">
        <v>371.16504555110799</v>
      </c>
      <c r="B293">
        <v>-1.07054893555142E-2</v>
      </c>
      <c r="C293">
        <v>371.16504555110799</v>
      </c>
      <c r="D293">
        <v>-9.9226386286207901E-3</v>
      </c>
      <c r="G293" s="50">
        <v>371.16504555110799</v>
      </c>
      <c r="H293">
        <v>-1.2243434368412E-2</v>
      </c>
      <c r="I293" s="50">
        <v>371.16504555110799</v>
      </c>
      <c r="J293">
        <v>-7.3315811987412988E-3</v>
      </c>
      <c r="L293">
        <v>371.16504555110799</v>
      </c>
      <c r="M293">
        <f t="shared" si="16"/>
        <v>0.9988582662849963</v>
      </c>
      <c r="N293">
        <f t="shared" si="17"/>
        <v>0.99915627665605933</v>
      </c>
      <c r="O293">
        <f t="shared" si="18"/>
        <v>0.99970173797830664</v>
      </c>
      <c r="P293">
        <f t="shared" si="19"/>
        <v>-2.5910574298794913E-3</v>
      </c>
      <c r="S293">
        <v>371.16504555110799</v>
      </c>
      <c r="T293">
        <v>0</v>
      </c>
      <c r="U293">
        <v>371.16504555110799</v>
      </c>
      <c r="V293">
        <v>-9.6543830433120075E-3</v>
      </c>
    </row>
    <row r="294" spans="1:22" x14ac:dyDescent="0.3">
      <c r="A294">
        <v>366.06233512412706</v>
      </c>
      <c r="B294">
        <v>-1.0691317464836201E-2</v>
      </c>
      <c r="C294">
        <v>366.06233512412706</v>
      </c>
      <c r="D294">
        <v>-9.8877744814805397E-3</v>
      </c>
      <c r="G294" s="50">
        <v>366.06233512412706</v>
      </c>
      <c r="H294">
        <v>-1.22463776180055E-2</v>
      </c>
      <c r="I294" s="50">
        <v>366.06233512412706</v>
      </c>
      <c r="J294">
        <v>-7.3310481821193471E-3</v>
      </c>
      <c r="L294">
        <v>366.06233512412706</v>
      </c>
      <c r="M294">
        <f t="shared" si="16"/>
        <v>0.99886227559353125</v>
      </c>
      <c r="N294">
        <f t="shared" si="17"/>
        <v>0.99915633797009173</v>
      </c>
      <c r="O294">
        <f t="shared" si="18"/>
        <v>0.99970568932469772</v>
      </c>
      <c r="P294">
        <f t="shared" si="19"/>
        <v>-2.5567262993611926E-3</v>
      </c>
      <c r="S294">
        <v>366.06233512412706</v>
      </c>
      <c r="T294">
        <v>0</v>
      </c>
      <c r="U294">
        <v>366.06233512412706</v>
      </c>
      <c r="V294">
        <v>-9.2565864945299819E-3</v>
      </c>
    </row>
    <row r="295" spans="1:22" x14ac:dyDescent="0.3">
      <c r="A295">
        <v>361.02977584422598</v>
      </c>
      <c r="B295">
        <v>-1.0659485658012202E-2</v>
      </c>
      <c r="C295">
        <v>361.02977584422598</v>
      </c>
      <c r="D295">
        <v>-9.8852341796250246E-3</v>
      </c>
      <c r="G295" s="50">
        <v>361.02977584422598</v>
      </c>
      <c r="H295">
        <v>-1.22199562248068E-2</v>
      </c>
      <c r="I295" s="50">
        <v>361.02977584422598</v>
      </c>
      <c r="J295">
        <v>-7.320332338636419E-3</v>
      </c>
      <c r="L295">
        <v>361.02977584422598</v>
      </c>
      <c r="M295">
        <f t="shared" si="16"/>
        <v>0.99886256772389059</v>
      </c>
      <c r="N295">
        <f t="shared" si="17"/>
        <v>0.99915757063709354</v>
      </c>
      <c r="O295">
        <f t="shared" si="18"/>
        <v>0.99970474835814449</v>
      </c>
      <c r="P295">
        <f t="shared" si="19"/>
        <v>-2.5649018409886057E-3</v>
      </c>
      <c r="S295">
        <v>361.02977584422598</v>
      </c>
      <c r="T295">
        <v>0</v>
      </c>
      <c r="U295">
        <v>361.02977584422598</v>
      </c>
      <c r="V295">
        <v>-9.3142636264360607E-3</v>
      </c>
    </row>
    <row r="296" spans="1:22" x14ac:dyDescent="0.3">
      <c r="A296">
        <v>356.06640328602703</v>
      </c>
      <c r="B296">
        <v>-1.0693119160128002E-2</v>
      </c>
      <c r="C296">
        <v>356.06640328602703</v>
      </c>
      <c r="D296">
        <v>-9.9089729385896646E-3</v>
      </c>
      <c r="G296" s="50">
        <v>356.06640328602703</v>
      </c>
      <c r="H296">
        <v>-1.2232772380472301E-2</v>
      </c>
      <c r="I296" s="50">
        <v>356.06640328602703</v>
      </c>
      <c r="J296">
        <v>-7.3271851950144021E-3</v>
      </c>
      <c r="L296">
        <v>356.06640328602703</v>
      </c>
      <c r="M296">
        <f t="shared" si="16"/>
        <v>0.99885983781062682</v>
      </c>
      <c r="N296">
        <f t="shared" si="17"/>
        <v>0.99915678233780414</v>
      </c>
      <c r="O296">
        <f t="shared" si="18"/>
        <v>0.99970280487264218</v>
      </c>
      <c r="P296">
        <f t="shared" si="19"/>
        <v>-2.5817877435752624E-3</v>
      </c>
      <c r="S296">
        <v>356.06640328602703</v>
      </c>
      <c r="T296">
        <v>0</v>
      </c>
      <c r="U296">
        <v>356.06640328602703</v>
      </c>
      <c r="V296">
        <v>-9.04394311868373E-3</v>
      </c>
    </row>
    <row r="297" spans="1:22" x14ac:dyDescent="0.3">
      <c r="A297">
        <v>351.17126628289799</v>
      </c>
      <c r="B297">
        <v>-1.06869459233038E-2</v>
      </c>
      <c r="C297">
        <v>351.17126628289799</v>
      </c>
      <c r="D297">
        <v>-9.9034015371515394E-3</v>
      </c>
      <c r="G297" s="50">
        <v>351.17126628289799</v>
      </c>
      <c r="H297">
        <v>-1.2217222935910696E-2</v>
      </c>
      <c r="I297" s="50">
        <v>351.17126628289799</v>
      </c>
      <c r="J297">
        <v>-7.3333428483454196E-3</v>
      </c>
      <c r="L297">
        <v>351.17126628289799</v>
      </c>
      <c r="M297">
        <f t="shared" si="16"/>
        <v>0.99886047851079152</v>
      </c>
      <c r="N297">
        <f t="shared" si="17"/>
        <v>0.99915607400979578</v>
      </c>
      <c r="O297">
        <f t="shared" si="18"/>
        <v>0.99970415482956732</v>
      </c>
      <c r="P297">
        <f t="shared" si="19"/>
        <v>-2.5700586888061198E-3</v>
      </c>
      <c r="S297">
        <v>351.17126628289799</v>
      </c>
      <c r="T297">
        <v>0</v>
      </c>
      <c r="U297">
        <v>351.17126628289799</v>
      </c>
      <c r="V297">
        <v>-9.2866376973006481E-3</v>
      </c>
    </row>
    <row r="298" spans="1:22" x14ac:dyDescent="0.3">
      <c r="A298">
        <v>346.34342674467501</v>
      </c>
      <c r="B298">
        <v>-1.0685805941413901E-2</v>
      </c>
      <c r="C298">
        <v>346.34342674467501</v>
      </c>
      <c r="D298">
        <v>-9.9079595873881807E-3</v>
      </c>
      <c r="G298" s="50">
        <v>346.34342674467501</v>
      </c>
      <c r="H298">
        <v>-1.22432529490376E-2</v>
      </c>
      <c r="I298" s="50">
        <v>346.34342674467501</v>
      </c>
      <c r="J298">
        <v>-7.351084773419698E-3</v>
      </c>
      <c r="L298">
        <v>346.34342674467501</v>
      </c>
      <c r="M298">
        <f t="shared" si="16"/>
        <v>0.99885995434398345</v>
      </c>
      <c r="N298">
        <f t="shared" si="17"/>
        <v>0.99915403312108597</v>
      </c>
      <c r="O298">
        <f t="shared" si="18"/>
        <v>0.99970567223135365</v>
      </c>
      <c r="P298">
        <f t="shared" si="19"/>
        <v>-2.5568748139684827E-3</v>
      </c>
      <c r="S298">
        <v>346.34342674467501</v>
      </c>
      <c r="T298">
        <v>0</v>
      </c>
      <c r="U298">
        <v>346.34342674467501</v>
      </c>
      <c r="V298">
        <v>-9.2951211579475074E-3</v>
      </c>
    </row>
    <row r="299" spans="1:22" x14ac:dyDescent="0.3">
      <c r="A299">
        <v>341.58195947788897</v>
      </c>
      <c r="B299">
        <v>-1.06875065096123E-2</v>
      </c>
      <c r="C299">
        <v>341.58195947788897</v>
      </c>
      <c r="D299">
        <v>-9.8879364589319011E-3</v>
      </c>
      <c r="G299" s="50">
        <v>341.58195947788897</v>
      </c>
      <c r="H299">
        <v>-1.2260094003287401E-2</v>
      </c>
      <c r="I299" s="50">
        <v>341.58195947788897</v>
      </c>
      <c r="J299">
        <v>-7.3539869035250793E-3</v>
      </c>
      <c r="L299">
        <v>341.58195947788897</v>
      </c>
      <c r="M299">
        <f t="shared" si="16"/>
        <v>0.99886225696640474</v>
      </c>
      <c r="N299">
        <f t="shared" si="17"/>
        <v>0.99915369928372022</v>
      </c>
      <c r="O299">
        <f t="shared" si="18"/>
        <v>0.99970831082592759</v>
      </c>
      <c r="P299">
        <f t="shared" si="19"/>
        <v>-2.5339495554068218E-3</v>
      </c>
      <c r="S299">
        <v>341.58195947788897</v>
      </c>
      <c r="T299">
        <v>0</v>
      </c>
      <c r="U299">
        <v>341.58195947788897</v>
      </c>
      <c r="V299">
        <v>-8.8007082408694277E-3</v>
      </c>
    </row>
    <row r="300" spans="1:22" x14ac:dyDescent="0.3">
      <c r="A300">
        <v>336.88595200846692</v>
      </c>
      <c r="B300">
        <v>-1.06890547362389E-2</v>
      </c>
      <c r="C300">
        <v>336.88595200846692</v>
      </c>
      <c r="D300">
        <v>-9.8934603840761803E-3</v>
      </c>
      <c r="G300" s="50">
        <v>336.88595200846692</v>
      </c>
      <c r="H300">
        <v>-1.2234373569865E-2</v>
      </c>
      <c r="I300" s="50">
        <v>336.88595200846692</v>
      </c>
      <c r="J300">
        <v>-7.3743453286390708E-3</v>
      </c>
      <c r="L300">
        <v>336.88595200846692</v>
      </c>
      <c r="M300">
        <f t="shared" si="16"/>
        <v>0.99886162172478721</v>
      </c>
      <c r="N300">
        <f t="shared" si="17"/>
        <v>0.99915135741975769</v>
      </c>
      <c r="O300">
        <f t="shared" si="18"/>
        <v>0.99971001821413852</v>
      </c>
      <c r="P300">
        <f t="shared" si="19"/>
        <v>-2.5191150554371095E-3</v>
      </c>
      <c r="S300">
        <v>336.88595200846692</v>
      </c>
      <c r="T300">
        <v>0</v>
      </c>
      <c r="U300">
        <v>336.88595200846692</v>
      </c>
      <c r="V300">
        <v>-8.3994203292832009E-3</v>
      </c>
    </row>
    <row r="301" spans="1:22" x14ac:dyDescent="0.3">
      <c r="A301">
        <v>332.254504406862</v>
      </c>
      <c r="B301">
        <v>-1.0677583300139203E-2</v>
      </c>
      <c r="C301">
        <v>332.254504406862</v>
      </c>
      <c r="D301">
        <v>-9.8902547504363808E-3</v>
      </c>
      <c r="G301" s="50">
        <v>332.254504406862</v>
      </c>
      <c r="H301">
        <v>-1.2246705913761299E-2</v>
      </c>
      <c r="I301" s="50">
        <v>332.254504406862</v>
      </c>
      <c r="J301">
        <v>-7.3374394774012872E-3</v>
      </c>
      <c r="L301">
        <v>332.254504406862</v>
      </c>
      <c r="M301">
        <f t="shared" si="16"/>
        <v>0.99886199036693468</v>
      </c>
      <c r="N301">
        <f t="shared" si="17"/>
        <v>0.99915560276608795</v>
      </c>
      <c r="O301">
        <f t="shared" si="18"/>
        <v>0.99970613946582454</v>
      </c>
      <c r="P301">
        <f t="shared" si="19"/>
        <v>-2.5528152730350936E-3</v>
      </c>
      <c r="S301">
        <v>332.254504406862</v>
      </c>
      <c r="T301">
        <v>0</v>
      </c>
      <c r="U301">
        <v>332.254504406862</v>
      </c>
      <c r="V301">
        <v>-8.1672735269648893E-3</v>
      </c>
    </row>
    <row r="302" spans="1:22" x14ac:dyDescent="0.3">
      <c r="A302">
        <v>327.68672911559997</v>
      </c>
      <c r="B302">
        <v>-1.0699015663495697E-2</v>
      </c>
      <c r="C302">
        <v>327.68672911559997</v>
      </c>
      <c r="D302">
        <v>-9.9224307900362806E-3</v>
      </c>
      <c r="G302" s="50">
        <v>327.68672911559997</v>
      </c>
      <c r="H302">
        <v>-1.2248045077203505E-2</v>
      </c>
      <c r="I302" s="50">
        <v>327.68672911559997</v>
      </c>
      <c r="J302">
        <v>-7.3404506718100287E-3</v>
      </c>
      <c r="L302">
        <v>327.68672911559997</v>
      </c>
      <c r="M302">
        <f t="shared" si="16"/>
        <v>0.99885829018597827</v>
      </c>
      <c r="N302">
        <f t="shared" si="17"/>
        <v>0.99915525638231284</v>
      </c>
      <c r="O302">
        <f t="shared" si="18"/>
        <v>0.99970278273127466</v>
      </c>
      <c r="P302">
        <f t="shared" si="19"/>
        <v>-2.5819801182262519E-3</v>
      </c>
      <c r="S302">
        <v>327.68672911559997</v>
      </c>
      <c r="T302">
        <v>0</v>
      </c>
      <c r="U302">
        <v>327.68672911559997</v>
      </c>
      <c r="V302">
        <v>-8.1492825140117003E-3</v>
      </c>
    </row>
    <row r="303" spans="1:22" x14ac:dyDescent="0.3">
      <c r="A303">
        <v>323.18175077918693</v>
      </c>
      <c r="B303">
        <v>-1.0673272247283401E-2</v>
      </c>
      <c r="C303">
        <v>323.18175077918693</v>
      </c>
      <c r="D303">
        <v>-9.8922515266665761E-3</v>
      </c>
      <c r="G303" s="50">
        <v>323.18175077918693</v>
      </c>
      <c r="H303">
        <v>-1.22412068048079E-2</v>
      </c>
      <c r="I303" s="50">
        <v>323.18175077918693</v>
      </c>
      <c r="J303">
        <v>-7.3455206185206907E-3</v>
      </c>
      <c r="L303">
        <v>323.18175077918693</v>
      </c>
      <c r="M303">
        <f t="shared" si="16"/>
        <v>0.99886176074121602</v>
      </c>
      <c r="N303">
        <f t="shared" si="17"/>
        <v>0.9991546731763733</v>
      </c>
      <c r="O303">
        <f t="shared" si="18"/>
        <v>0.99970683974861863</v>
      </c>
      <c r="P303">
        <f t="shared" si="19"/>
        <v>-2.5467309081458854E-3</v>
      </c>
      <c r="S303">
        <v>323.18175077918693</v>
      </c>
      <c r="T303">
        <v>0</v>
      </c>
      <c r="U303">
        <v>323.18175077918693</v>
      </c>
      <c r="V303">
        <v>-8.2169231806119587E-3</v>
      </c>
    </row>
    <row r="304" spans="1:22" x14ac:dyDescent="0.3">
      <c r="A304">
        <v>318.73870607635803</v>
      </c>
      <c r="B304">
        <v>-1.06556241254793E-2</v>
      </c>
      <c r="C304">
        <v>318.73870607635803</v>
      </c>
      <c r="D304">
        <v>-9.9019248809153679E-3</v>
      </c>
      <c r="G304" s="50">
        <v>318.73870607635803</v>
      </c>
      <c r="H304">
        <v>-1.2227804864749501E-2</v>
      </c>
      <c r="I304" s="50">
        <v>318.73870607635803</v>
      </c>
      <c r="J304">
        <v>-7.3316583748321675E-3</v>
      </c>
      <c r="L304">
        <v>318.73870607635803</v>
      </c>
      <c r="M304">
        <f t="shared" si="16"/>
        <v>0.99886064832341193</v>
      </c>
      <c r="N304">
        <f t="shared" si="17"/>
        <v>0.99915626777833011</v>
      </c>
      <c r="O304">
        <f t="shared" si="18"/>
        <v>0.99970413091079791</v>
      </c>
      <c r="P304">
        <f t="shared" si="19"/>
        <v>-2.5702665060832004E-3</v>
      </c>
      <c r="S304">
        <v>318.73870607635803</v>
      </c>
      <c r="T304">
        <v>0</v>
      </c>
      <c r="U304">
        <v>318.73870607635803</v>
      </c>
      <c r="V304">
        <v>-8.0054067383343881E-3</v>
      </c>
    </row>
    <row r="305" spans="1:22" x14ac:dyDescent="0.3">
      <c r="A305">
        <v>314.35674355463601</v>
      </c>
      <c r="B305">
        <v>-1.0683726713497502E-2</v>
      </c>
      <c r="C305">
        <v>314.35674355463601</v>
      </c>
      <c r="D305">
        <v>-9.9063071897339799E-3</v>
      </c>
      <c r="G305" s="50">
        <v>314.35674355463601</v>
      </c>
      <c r="H305">
        <v>-1.2246253669185699E-2</v>
      </c>
      <c r="I305" s="50">
        <v>314.35674355463601</v>
      </c>
      <c r="J305">
        <v>-7.3114710913463801E-3</v>
      </c>
      <c r="L305">
        <v>314.35674355463601</v>
      </c>
      <c r="M305">
        <f t="shared" si="16"/>
        <v>0.99886014436643045</v>
      </c>
      <c r="N305">
        <f t="shared" si="17"/>
        <v>0.99915858996697215</v>
      </c>
      <c r="O305">
        <f t="shared" si="18"/>
        <v>0.99970130307286698</v>
      </c>
      <c r="P305">
        <f t="shared" si="19"/>
        <v>-2.5948360983875998E-3</v>
      </c>
      <c r="S305">
        <v>314.35674355463601</v>
      </c>
      <c r="T305">
        <v>0</v>
      </c>
      <c r="U305">
        <v>314.35674355463601</v>
      </c>
      <c r="V305">
        <v>-7.9762208829947685E-3</v>
      </c>
    </row>
    <row r="306" spans="1:22" x14ac:dyDescent="0.3">
      <c r="A306">
        <v>310.03502346715698</v>
      </c>
      <c r="B306">
        <v>-1.0678590985912999E-2</v>
      </c>
      <c r="C306">
        <v>310.03502346715698</v>
      </c>
      <c r="D306">
        <v>-9.8942557374648195E-3</v>
      </c>
      <c r="G306" s="50">
        <v>310.03502346715698</v>
      </c>
      <c r="H306">
        <v>-1.22539217343842E-2</v>
      </c>
      <c r="I306" s="50">
        <v>310.03502346715698</v>
      </c>
      <c r="J306">
        <v>-7.3355537781131007E-3</v>
      </c>
      <c r="L306">
        <v>310.03502346715698</v>
      </c>
      <c r="M306">
        <f t="shared" si="16"/>
        <v>0.9988615302605881</v>
      </c>
      <c r="N306">
        <f t="shared" si="17"/>
        <v>0.99915581968194711</v>
      </c>
      <c r="O306">
        <f t="shared" si="18"/>
        <v>0.99970546193540399</v>
      </c>
      <c r="P306">
        <f t="shared" si="19"/>
        <v>-2.5587019593517188E-3</v>
      </c>
      <c r="S306">
        <v>310.03502346715698</v>
      </c>
      <c r="T306">
        <v>0</v>
      </c>
      <c r="U306">
        <v>310.03502346715698</v>
      </c>
      <c r="V306">
        <v>-8.0290058821219576E-3</v>
      </c>
    </row>
    <row r="307" spans="1:22" x14ac:dyDescent="0.3">
      <c r="A307">
        <v>305.77271761174899</v>
      </c>
      <c r="B307">
        <v>-1.0661970678857402E-2</v>
      </c>
      <c r="C307">
        <v>305.77271761174899</v>
      </c>
      <c r="D307">
        <v>-9.886629125352148E-3</v>
      </c>
      <c r="G307" s="50">
        <v>305.77271761174899</v>
      </c>
      <c r="H307">
        <v>-1.2268467022881001E-2</v>
      </c>
      <c r="I307" s="50">
        <v>305.77271761174899</v>
      </c>
      <c r="J307">
        <v>-7.3580184655981104E-3</v>
      </c>
      <c r="L307">
        <v>305.77271761174899</v>
      </c>
      <c r="M307">
        <f t="shared" si="16"/>
        <v>0.99886240730751219</v>
      </c>
      <c r="N307">
        <f t="shared" si="17"/>
        <v>0.99915323552590241</v>
      </c>
      <c r="O307">
        <f t="shared" si="18"/>
        <v>0.99970892530990285</v>
      </c>
      <c r="P307">
        <f t="shared" si="19"/>
        <v>-2.5286106597540376E-3</v>
      </c>
      <c r="S307">
        <v>305.77271761174899</v>
      </c>
      <c r="T307">
        <v>0</v>
      </c>
      <c r="U307">
        <v>305.77271761174899</v>
      </c>
      <c r="V307">
        <v>-7.7579304152095583E-3</v>
      </c>
    </row>
    <row r="308" spans="1:22" x14ac:dyDescent="0.3">
      <c r="A308">
        <v>301.56900917221401</v>
      </c>
      <c r="B308">
        <v>-1.0666294959444702E-2</v>
      </c>
      <c r="C308">
        <v>301.56900917221401</v>
      </c>
      <c r="D308">
        <v>-9.9096346503487198E-3</v>
      </c>
      <c r="G308" s="50">
        <v>301.56900917221401</v>
      </c>
      <c r="H308">
        <v>-1.2241110376284002E-2</v>
      </c>
      <c r="I308" s="50">
        <v>301.56900917221401</v>
      </c>
      <c r="J308">
        <v>-7.3264445812341508E-3</v>
      </c>
      <c r="L308">
        <v>301.56900917221401</v>
      </c>
      <c r="M308">
        <f t="shared" si="16"/>
        <v>0.99885976171510837</v>
      </c>
      <c r="N308">
        <f t="shared" si="17"/>
        <v>0.99915686753222221</v>
      </c>
      <c r="O308">
        <f t="shared" si="18"/>
        <v>0.99970264347194282</v>
      </c>
      <c r="P308">
        <f t="shared" si="19"/>
        <v>-2.5831900691145691E-3</v>
      </c>
      <c r="S308">
        <v>301.56900917221401</v>
      </c>
      <c r="T308">
        <v>0</v>
      </c>
      <c r="U308">
        <v>301.56900917221401</v>
      </c>
      <c r="V308">
        <v>-8.1162842432149791E-3</v>
      </c>
    </row>
    <row r="309" spans="1:22" x14ac:dyDescent="0.3">
      <c r="A309">
        <v>297.42309256179396</v>
      </c>
      <c r="B309">
        <v>-1.0686865052232399E-2</v>
      </c>
      <c r="C309">
        <v>297.42309256179396</v>
      </c>
      <c r="D309">
        <v>-9.9115024166366479E-3</v>
      </c>
      <c r="G309" s="50">
        <v>297.42309256179396</v>
      </c>
      <c r="H309">
        <v>-1.2260706711031801E-2</v>
      </c>
      <c r="I309" s="50">
        <v>297.42309256179396</v>
      </c>
      <c r="J309">
        <v>-7.34160783876625E-3</v>
      </c>
      <c r="L309">
        <v>297.42309256179396</v>
      </c>
      <c r="M309">
        <f t="shared" si="16"/>
        <v>0.99885954692578149</v>
      </c>
      <c r="N309">
        <f t="shared" si="17"/>
        <v>0.99915512327109257</v>
      </c>
      <c r="O309">
        <f t="shared" si="18"/>
        <v>0.9997041737179474</v>
      </c>
      <c r="P309">
        <f t="shared" si="19"/>
        <v>-2.5698945778703979E-3</v>
      </c>
      <c r="S309">
        <v>297.42309256179396</v>
      </c>
      <c r="T309">
        <v>0</v>
      </c>
      <c r="U309">
        <v>297.42309256179396</v>
      </c>
      <c r="V309">
        <v>-7.7165230386526682E-3</v>
      </c>
    </row>
    <row r="310" spans="1:22" x14ac:dyDescent="0.3">
      <c r="A310">
        <v>293.33417326879692</v>
      </c>
      <c r="B310">
        <v>-1.0679163729565601E-2</v>
      </c>
      <c r="C310">
        <v>293.33417326879692</v>
      </c>
      <c r="D310">
        <v>-9.9118671005408391E-3</v>
      </c>
      <c r="G310" s="50">
        <v>293.33417326879692</v>
      </c>
      <c r="H310">
        <v>-1.22454893949819E-2</v>
      </c>
      <c r="I310" s="50">
        <v>293.33417326879692</v>
      </c>
      <c r="J310">
        <v>-7.3232200793119885E-3</v>
      </c>
      <c r="L310">
        <v>293.33417326879692</v>
      </c>
      <c r="M310">
        <f t="shared" si="16"/>
        <v>0.99885950498787901</v>
      </c>
      <c r="N310">
        <f t="shared" si="17"/>
        <v>0.99915723845379412</v>
      </c>
      <c r="O310">
        <f t="shared" si="18"/>
        <v>0.99970201540412618</v>
      </c>
      <c r="P310">
        <f t="shared" si="19"/>
        <v>-2.5886470212288506E-3</v>
      </c>
      <c r="S310">
        <v>293.33417326879692</v>
      </c>
      <c r="T310">
        <v>0</v>
      </c>
      <c r="U310">
        <v>293.33417326879692</v>
      </c>
      <c r="V310">
        <v>-7.6441402787281723E-3</v>
      </c>
    </row>
    <row r="311" spans="1:22" x14ac:dyDescent="0.3">
      <c r="A311">
        <v>289.30146770433203</v>
      </c>
      <c r="B311">
        <v>-1.0715905594356199E-2</v>
      </c>
      <c r="C311">
        <v>289.30146770433203</v>
      </c>
      <c r="D311">
        <v>-9.926680256130728E-3</v>
      </c>
      <c r="G311" s="50">
        <v>289.30146770433203</v>
      </c>
      <c r="H311">
        <v>-1.2217997300443302E-2</v>
      </c>
      <c r="I311" s="50">
        <v>289.30146770433203</v>
      </c>
      <c r="J311">
        <v>-7.3200787683189404E-3</v>
      </c>
      <c r="L311">
        <v>289.30146770433203</v>
      </c>
      <c r="M311">
        <f t="shared" si="16"/>
        <v>0.99885780150680126</v>
      </c>
      <c r="N311">
        <f t="shared" si="17"/>
        <v>0.99915759980586238</v>
      </c>
      <c r="O311">
        <f t="shared" si="18"/>
        <v>0.99969994893786585</v>
      </c>
      <c r="P311">
        <f t="shared" si="19"/>
        <v>-2.6066014878117875E-3</v>
      </c>
      <c r="S311">
        <v>289.30146770433203</v>
      </c>
      <c r="T311">
        <v>0</v>
      </c>
      <c r="U311">
        <v>289.30146770433203</v>
      </c>
      <c r="V311">
        <v>-7.3030852676652094E-3</v>
      </c>
    </row>
    <row r="312" spans="1:22" x14ac:dyDescent="0.3">
      <c r="A312">
        <v>285.32420305215101</v>
      </c>
      <c r="B312">
        <v>-1.06869390913334E-2</v>
      </c>
      <c r="C312">
        <v>285.32420305215101</v>
      </c>
      <c r="D312">
        <v>-9.9124651569516397E-3</v>
      </c>
      <c r="G312" s="50">
        <v>285.32420305215101</v>
      </c>
      <c r="H312">
        <v>-1.2261154785046899E-2</v>
      </c>
      <c r="I312" s="50">
        <v>285.32420305215101</v>
      </c>
      <c r="J312">
        <v>-7.3629385104086002E-3</v>
      </c>
      <c r="L312">
        <v>285.32420305215101</v>
      </c>
      <c r="M312">
        <f t="shared" si="16"/>
        <v>0.99885943621261997</v>
      </c>
      <c r="N312">
        <f t="shared" si="17"/>
        <v>0.99915266956461313</v>
      </c>
      <c r="O312">
        <f t="shared" si="18"/>
        <v>0.99970651797175203</v>
      </c>
      <c r="P312">
        <f t="shared" si="19"/>
        <v>-2.5495266465430395E-3</v>
      </c>
      <c r="S312">
        <v>285.32420305215101</v>
      </c>
      <c r="T312">
        <v>0</v>
      </c>
      <c r="U312">
        <v>285.32420305215101</v>
      </c>
      <c r="V312">
        <v>-7.4097686482446079E-3</v>
      </c>
    </row>
    <row r="313" spans="1:22" x14ac:dyDescent="0.3">
      <c r="A313">
        <v>281.40161712053998</v>
      </c>
      <c r="B313">
        <v>-1.0691356850622702E-2</v>
      </c>
      <c r="C313">
        <v>281.40161712053998</v>
      </c>
      <c r="D313">
        <v>-9.9045532226026967E-3</v>
      </c>
      <c r="G313" s="50">
        <v>281.40161712053998</v>
      </c>
      <c r="H313">
        <v>-1.22349017102372E-2</v>
      </c>
      <c r="I313" s="50">
        <v>281.40161712053998</v>
      </c>
      <c r="J313">
        <v>-7.3288303180189416E-3</v>
      </c>
      <c r="L313">
        <v>281.40161712053998</v>
      </c>
      <c r="M313">
        <f t="shared" si="16"/>
        <v>0.99886034606920493</v>
      </c>
      <c r="N313">
        <f t="shared" si="17"/>
        <v>0.99915659309574367</v>
      </c>
      <c r="O313">
        <f t="shared" si="18"/>
        <v>0.99970350290576493</v>
      </c>
      <c r="P313">
        <f t="shared" si="19"/>
        <v>-2.575722904583755E-3</v>
      </c>
      <c r="S313">
        <v>281.40161712053998</v>
      </c>
      <c r="T313">
        <v>0</v>
      </c>
      <c r="U313">
        <v>281.40161712053998</v>
      </c>
      <c r="V313">
        <v>-7.1269750597480197E-3</v>
      </c>
    </row>
    <row r="314" spans="1:22" x14ac:dyDescent="0.3">
      <c r="A314">
        <v>277.53295819626499</v>
      </c>
      <c r="B314">
        <v>-1.06861865780171E-2</v>
      </c>
      <c r="C314">
        <v>277.53295819626499</v>
      </c>
      <c r="D314">
        <v>-9.9167181069917589E-3</v>
      </c>
      <c r="G314" s="50">
        <v>277.53295819626499</v>
      </c>
      <c r="H314">
        <v>-1.22552047063662E-2</v>
      </c>
      <c r="I314" s="50">
        <v>277.53295819626499</v>
      </c>
      <c r="J314">
        <v>-7.3493576647446924E-3</v>
      </c>
      <c r="L314">
        <v>277.53295819626499</v>
      </c>
      <c r="M314">
        <f t="shared" si="16"/>
        <v>0.99885894713223611</v>
      </c>
      <c r="N314">
        <f t="shared" si="17"/>
        <v>0.99915423179362739</v>
      </c>
      <c r="O314">
        <f t="shared" si="18"/>
        <v>0.99970446538482727</v>
      </c>
      <c r="P314">
        <f t="shared" si="19"/>
        <v>-2.5673604422470665E-3</v>
      </c>
      <c r="S314">
        <v>277.53295819626499</v>
      </c>
      <c r="T314">
        <v>0</v>
      </c>
      <c r="U314">
        <v>277.53295819626499</v>
      </c>
      <c r="V314">
        <v>-7.6579792747679676E-3</v>
      </c>
    </row>
    <row r="315" spans="1:22" x14ac:dyDescent="0.3">
      <c r="A315">
        <v>273.71748490050692</v>
      </c>
      <c r="B315">
        <v>-1.0688243635529901E-2</v>
      </c>
      <c r="C315">
        <v>273.71748490050692</v>
      </c>
      <c r="D315">
        <v>-9.9158237345947798E-3</v>
      </c>
      <c r="G315" s="50">
        <v>273.71748490050692</v>
      </c>
      <c r="H315">
        <v>-1.2247248627465101E-2</v>
      </c>
      <c r="I315" s="50">
        <v>273.71748490050692</v>
      </c>
      <c r="J315">
        <v>-7.3561697012427107E-3</v>
      </c>
      <c r="L315">
        <v>273.71748490050692</v>
      </c>
      <c r="M315">
        <f t="shared" si="16"/>
        <v>0.99885904998317654</v>
      </c>
      <c r="N315">
        <f t="shared" si="17"/>
        <v>0.99915344819255603</v>
      </c>
      <c r="O315">
        <f t="shared" si="18"/>
        <v>0.99970535235612501</v>
      </c>
      <c r="P315">
        <f t="shared" si="19"/>
        <v>-2.5596540333520691E-3</v>
      </c>
      <c r="S315">
        <v>273.71748490050692</v>
      </c>
      <c r="T315">
        <v>0</v>
      </c>
      <c r="U315">
        <v>273.71748490050692</v>
      </c>
      <c r="V315">
        <v>-6.8327927486961917E-3</v>
      </c>
    </row>
    <row r="316" spans="1:22" x14ac:dyDescent="0.3">
      <c r="A316">
        <v>269.95446604679103</v>
      </c>
      <c r="B316">
        <v>-1.0682706538648499E-2</v>
      </c>
      <c r="C316">
        <v>269.95446604679103</v>
      </c>
      <c r="D316">
        <v>-9.8923855130724093E-3</v>
      </c>
      <c r="G316" s="50">
        <v>269.95446604679103</v>
      </c>
      <c r="H316">
        <v>-1.2246599136265099E-2</v>
      </c>
      <c r="I316" s="50">
        <v>269.95446604679103</v>
      </c>
      <c r="J316">
        <v>-7.3413666985251511E-3</v>
      </c>
      <c r="L316">
        <v>269.95446604679103</v>
      </c>
      <c r="M316">
        <f t="shared" si="16"/>
        <v>0.99886174533301919</v>
      </c>
      <c r="N316">
        <f t="shared" si="17"/>
        <v>0.99915515100993324</v>
      </c>
      <c r="O316">
        <f t="shared" si="18"/>
        <v>0.99970634622999488</v>
      </c>
      <c r="P316">
        <f t="shared" si="19"/>
        <v>-2.5510188145472582E-3</v>
      </c>
      <c r="S316">
        <v>269.95446604679103</v>
      </c>
      <c r="T316">
        <v>0</v>
      </c>
      <c r="U316">
        <v>269.95446604679103</v>
      </c>
      <c r="V316">
        <v>-6.6402689265032686E-3</v>
      </c>
    </row>
    <row r="317" spans="1:22" x14ac:dyDescent="0.3">
      <c r="A317">
        <v>266.24318050086401</v>
      </c>
      <c r="B317">
        <v>-1.0694605437937399E-2</v>
      </c>
      <c r="C317">
        <v>266.24318050086401</v>
      </c>
      <c r="D317">
        <v>-9.9182503643773633E-3</v>
      </c>
      <c r="G317" s="50">
        <v>266.24318050086401</v>
      </c>
      <c r="H317">
        <v>-1.2265464708112302E-2</v>
      </c>
      <c r="I317" s="50">
        <v>266.24318050086401</v>
      </c>
      <c r="J317">
        <v>-7.3498878551689706E-3</v>
      </c>
      <c r="L317">
        <v>266.24318050086401</v>
      </c>
      <c r="M317">
        <f t="shared" si="16"/>
        <v>0.99885877092589126</v>
      </c>
      <c r="N317">
        <f t="shared" si="17"/>
        <v>0.99915417080482682</v>
      </c>
      <c r="O317">
        <f t="shared" si="18"/>
        <v>0.99970435005170666</v>
      </c>
      <c r="P317">
        <f t="shared" si="19"/>
        <v>-2.5683625092083927E-3</v>
      </c>
      <c r="S317">
        <v>266.24318050086401</v>
      </c>
      <c r="T317">
        <v>0</v>
      </c>
      <c r="U317">
        <v>266.24318050086401</v>
      </c>
      <c r="V317">
        <v>-6.8584956586619219E-3</v>
      </c>
    </row>
    <row r="318" spans="1:22" x14ac:dyDescent="0.3">
      <c r="A318">
        <v>262.58291704249598</v>
      </c>
      <c r="B318">
        <v>-1.0677110015300202E-2</v>
      </c>
      <c r="C318">
        <v>262.58291704249598</v>
      </c>
      <c r="D318">
        <v>-9.9053689106593616E-3</v>
      </c>
      <c r="G318" s="50">
        <v>262.58291704249598</v>
      </c>
      <c r="H318">
        <v>-1.2240210792125101E-2</v>
      </c>
      <c r="I318" s="50">
        <v>262.58291704249598</v>
      </c>
      <c r="J318">
        <v>-7.3278502344985216E-3</v>
      </c>
      <c r="L318">
        <v>262.58291704249598</v>
      </c>
      <c r="M318">
        <f t="shared" si="16"/>
        <v>0.99886025226667574</v>
      </c>
      <c r="N318">
        <f t="shared" si="17"/>
        <v>0.99915670583686833</v>
      </c>
      <c r="O318">
        <f t="shared" si="18"/>
        <v>0.99970329622124265</v>
      </c>
      <c r="P318">
        <f t="shared" si="19"/>
        <v>-2.57751867616084E-3</v>
      </c>
      <c r="S318">
        <v>262.58291704249598</v>
      </c>
      <c r="T318">
        <v>0</v>
      </c>
      <c r="U318">
        <v>262.58291704249598</v>
      </c>
      <c r="V318">
        <v>-6.6062975504337391E-3</v>
      </c>
    </row>
    <row r="319" spans="1:22" x14ac:dyDescent="0.3">
      <c r="A319">
        <v>258.97297422918302</v>
      </c>
      <c r="B319">
        <v>-1.0712238241845799E-2</v>
      </c>
      <c r="C319">
        <v>258.97297422918302</v>
      </c>
      <c r="D319">
        <v>-9.9265501574185479E-3</v>
      </c>
      <c r="G319" s="50">
        <v>258.97297422918302</v>
      </c>
      <c r="H319">
        <v>-1.22424821044484E-2</v>
      </c>
      <c r="I319" s="50">
        <v>258.97297422918302</v>
      </c>
      <c r="J319">
        <v>-7.3275601728672191E-3</v>
      </c>
      <c r="L319">
        <v>258.97297422918302</v>
      </c>
      <c r="M319">
        <f t="shared" si="16"/>
        <v>0.99885781646786109</v>
      </c>
      <c r="N319">
        <f t="shared" si="17"/>
        <v>0.99915673920328685</v>
      </c>
      <c r="O319">
        <f t="shared" si="18"/>
        <v>0.99970082498201018</v>
      </c>
      <c r="P319">
        <f t="shared" si="19"/>
        <v>-2.5989899845513288E-3</v>
      </c>
      <c r="S319">
        <v>258.97297422918302</v>
      </c>
      <c r="T319">
        <v>0</v>
      </c>
      <c r="U319">
        <v>258.97297422918302</v>
      </c>
      <c r="V319">
        <v>-6.8803231142169404E-3</v>
      </c>
    </row>
    <row r="320" spans="1:22" x14ac:dyDescent="0.3">
      <c r="A320">
        <v>255.41266026173093</v>
      </c>
      <c r="B320">
        <v>-1.0661581595205298E-2</v>
      </c>
      <c r="C320">
        <v>255.41266026173093</v>
      </c>
      <c r="D320">
        <v>-9.9047866610387988E-3</v>
      </c>
      <c r="G320" s="50">
        <v>255.41266026173093</v>
      </c>
      <c r="H320">
        <v>-1.22275725496548E-2</v>
      </c>
      <c r="I320" s="50">
        <v>255.41266026173093</v>
      </c>
      <c r="J320">
        <v>-7.3273774948796515E-3</v>
      </c>
      <c r="L320">
        <v>255.41266026173093</v>
      </c>
      <c r="M320">
        <f t="shared" si="16"/>
        <v>0.9988603192242409</v>
      </c>
      <c r="N320">
        <f t="shared" si="17"/>
        <v>0.9991567602171324</v>
      </c>
      <c r="O320">
        <f t="shared" si="18"/>
        <v>0.99970330882530678</v>
      </c>
      <c r="P320">
        <f t="shared" si="19"/>
        <v>-2.5774091661591473E-3</v>
      </c>
      <c r="S320">
        <v>255.41266026173093</v>
      </c>
      <c r="T320">
        <v>0</v>
      </c>
      <c r="U320">
        <v>255.41266026173093</v>
      </c>
      <c r="V320">
        <v>-6.6358154510339782E-3</v>
      </c>
    </row>
    <row r="321" spans="1:22" x14ac:dyDescent="0.3">
      <c r="A321">
        <v>251.90129285167399</v>
      </c>
      <c r="B321">
        <v>-1.0677463794769002E-2</v>
      </c>
      <c r="C321">
        <v>251.90129285167399</v>
      </c>
      <c r="D321">
        <v>-9.9000808472500812E-3</v>
      </c>
      <c r="G321" s="50">
        <v>251.90129285167399</v>
      </c>
      <c r="H321">
        <v>-1.2243094351099602E-2</v>
      </c>
      <c r="I321" s="50">
        <v>251.90129285167399</v>
      </c>
      <c r="J321">
        <v>-7.3202857722245492E-3</v>
      </c>
      <c r="L321">
        <v>251.90129285167399</v>
      </c>
      <c r="M321">
        <f t="shared" si="16"/>
        <v>0.99886086038376898</v>
      </c>
      <c r="N321">
        <f t="shared" si="17"/>
        <v>0.99915757599373334</v>
      </c>
      <c r="O321">
        <f t="shared" si="18"/>
        <v>0.99970303421893258</v>
      </c>
      <c r="P321">
        <f t="shared" si="19"/>
        <v>-2.579795075025532E-3</v>
      </c>
      <c r="S321">
        <v>251.90129285167399</v>
      </c>
      <c r="T321">
        <v>0</v>
      </c>
      <c r="U321">
        <v>251.90129285167399</v>
      </c>
      <c r="V321">
        <v>-6.4451876986026998E-3</v>
      </c>
    </row>
    <row r="322" spans="1:22" x14ac:dyDescent="0.3">
      <c r="A322">
        <v>248.43819909052601</v>
      </c>
      <c r="B322">
        <v>-1.06822794117975E-2</v>
      </c>
      <c r="C322">
        <v>248.43819909052601</v>
      </c>
      <c r="D322">
        <v>-9.9074145359976593E-3</v>
      </c>
      <c r="G322" s="50">
        <v>248.43819909052601</v>
      </c>
      <c r="H322">
        <v>-1.22534492960093E-2</v>
      </c>
      <c r="I322" s="50">
        <v>248.43819909052601</v>
      </c>
      <c r="J322">
        <v>-7.35251676544118E-3</v>
      </c>
      <c r="L322">
        <v>248.43819909052601</v>
      </c>
      <c r="M322">
        <f t="shared" si="16"/>
        <v>0.99886001702380645</v>
      </c>
      <c r="N322">
        <f t="shared" si="17"/>
        <v>0.99915386839639497</v>
      </c>
      <c r="O322">
        <f t="shared" si="18"/>
        <v>0.99970589977992064</v>
      </c>
      <c r="P322">
        <f t="shared" si="19"/>
        <v>-2.5548977705564793E-3</v>
      </c>
      <c r="S322">
        <v>248.43819909052601</v>
      </c>
      <c r="T322">
        <v>0</v>
      </c>
      <c r="U322">
        <v>248.43819909052601</v>
      </c>
      <c r="V322">
        <v>-6.3717558750795425E-3</v>
      </c>
    </row>
    <row r="323" spans="1:22" x14ac:dyDescent="0.3">
      <c r="A323">
        <v>245.02271532082599</v>
      </c>
      <c r="B323">
        <v>-1.0660846525770399E-2</v>
      </c>
      <c r="C323">
        <v>245.02271532082599</v>
      </c>
      <c r="D323">
        <v>-9.8932243226220462E-3</v>
      </c>
      <c r="G323" s="50">
        <v>245.02271532082599</v>
      </c>
      <c r="H323">
        <v>-1.2242555160622899E-2</v>
      </c>
      <c r="I323" s="50">
        <v>245.02271532082599</v>
      </c>
      <c r="J323">
        <v>-7.3296870628020098E-3</v>
      </c>
      <c r="L323">
        <v>245.02271532082599</v>
      </c>
      <c r="M323">
        <f t="shared" si="16"/>
        <v>0.99886164887142848</v>
      </c>
      <c r="N323">
        <f t="shared" si="17"/>
        <v>0.99915649454255073</v>
      </c>
      <c r="O323">
        <f t="shared" si="18"/>
        <v>0.9997049054149848</v>
      </c>
      <c r="P323">
        <f t="shared" si="19"/>
        <v>-2.5635372598200364E-3</v>
      </c>
      <c r="S323">
        <v>245.02271532082599</v>
      </c>
      <c r="T323">
        <v>0</v>
      </c>
      <c r="U323">
        <v>245.02271532082599</v>
      </c>
      <c r="V323">
        <v>-6.3704363629426596E-3</v>
      </c>
    </row>
    <row r="324" spans="1:22" x14ac:dyDescent="0.3">
      <c r="A324">
        <v>241.65418700895799</v>
      </c>
      <c r="B324">
        <v>-1.0661531314694897E-2</v>
      </c>
      <c r="C324">
        <v>241.65418700895799</v>
      </c>
      <c r="D324">
        <v>-9.8896764347305207E-3</v>
      </c>
      <c r="G324" s="50">
        <v>241.65418700895799</v>
      </c>
      <c r="H324">
        <v>-1.22481721076141E-2</v>
      </c>
      <c r="I324" s="50">
        <v>241.65418700895799</v>
      </c>
      <c r="J324">
        <v>-7.3306416318455071E-3</v>
      </c>
      <c r="L324">
        <v>241.65418700895799</v>
      </c>
      <c r="M324">
        <f t="shared" si="16"/>
        <v>0.99886205687222296</v>
      </c>
      <c r="N324">
        <f t="shared" si="17"/>
        <v>0.99915638473643476</v>
      </c>
      <c r="O324">
        <f t="shared" si="18"/>
        <v>0.99970542362666337</v>
      </c>
      <c r="P324">
        <f t="shared" si="19"/>
        <v>-2.5590348028850136E-3</v>
      </c>
      <c r="S324">
        <v>241.65418700895799</v>
      </c>
      <c r="T324">
        <v>0</v>
      </c>
      <c r="U324">
        <v>241.65418700895799</v>
      </c>
      <c r="V324">
        <v>-6.2245563373153397E-3</v>
      </c>
    </row>
    <row r="325" spans="1:22" x14ac:dyDescent="0.3">
      <c r="A325">
        <v>238.33196861971399</v>
      </c>
      <c r="B325">
        <v>-1.06961947629216E-2</v>
      </c>
      <c r="C325">
        <v>238.33196861971399</v>
      </c>
      <c r="D325">
        <v>-9.9280239624294012E-3</v>
      </c>
      <c r="G325" s="50">
        <v>238.33196861971399</v>
      </c>
      <c r="H325">
        <v>-1.2216383545467599E-2</v>
      </c>
      <c r="I325" s="50">
        <v>238.33196861971399</v>
      </c>
      <c r="J325">
        <v>-7.3150559944691477E-3</v>
      </c>
      <c r="L325">
        <v>238.33196861971399</v>
      </c>
      <c r="M325">
        <f t="shared" ref="M325:M388" si="20">10^(D325/20)</f>
        <v>0.99885764698360657</v>
      </c>
      <c r="N325">
        <f t="shared" ref="N325:N388" si="21">10^(J325/20)</f>
        <v>0.99915817758710568</v>
      </c>
      <c r="O325">
        <f t="shared" ref="O325:O388" si="22">M325/N325</f>
        <v>0.99969921618994817</v>
      </c>
      <c r="P325">
        <f t="shared" ref="P325:P388" si="23">D325-J325</f>
        <v>-2.6129679679602535E-3</v>
      </c>
      <c r="S325">
        <v>238.33196861971399</v>
      </c>
      <c r="T325">
        <v>0</v>
      </c>
      <c r="U325">
        <v>238.33196861971399</v>
      </c>
      <c r="V325">
        <v>-6.2017390089863502E-3</v>
      </c>
    </row>
    <row r="326" spans="1:22" x14ac:dyDescent="0.3">
      <c r="A326">
        <v>235.05542349259099</v>
      </c>
      <c r="B326">
        <v>-1.07040627395526E-2</v>
      </c>
      <c r="C326">
        <v>235.05542349259099</v>
      </c>
      <c r="D326">
        <v>-9.910217861270049E-3</v>
      </c>
      <c r="G326" s="50">
        <v>235.05542349259099</v>
      </c>
      <c r="H326">
        <v>-1.2242523759845301E-2</v>
      </c>
      <c r="I326" s="50">
        <v>235.05542349259099</v>
      </c>
      <c r="J326">
        <v>-7.3120326919986585E-3</v>
      </c>
      <c r="L326">
        <v>235.05542349259099</v>
      </c>
      <c r="M326">
        <f t="shared" si="20"/>
        <v>0.99885969464703284</v>
      </c>
      <c r="N326">
        <f t="shared" si="21"/>
        <v>0.99915852536471261</v>
      </c>
      <c r="O326">
        <f t="shared" si="22"/>
        <v>0.99970091761207691</v>
      </c>
      <c r="P326">
        <f t="shared" si="23"/>
        <v>-2.5981851692713906E-3</v>
      </c>
      <c r="S326">
        <v>235.05542349259099</v>
      </c>
      <c r="T326">
        <v>0</v>
      </c>
      <c r="U326">
        <v>235.05542349259099</v>
      </c>
      <c r="V326">
        <v>-5.914042045787939E-3</v>
      </c>
    </row>
    <row r="327" spans="1:22" x14ac:dyDescent="0.3">
      <c r="A327">
        <v>231.823923719779</v>
      </c>
      <c r="B327">
        <v>-1.0690986874448097E-2</v>
      </c>
      <c r="C327">
        <v>231.823923719779</v>
      </c>
      <c r="D327">
        <v>-9.9027713553582804E-3</v>
      </c>
      <c r="G327" s="50">
        <v>231.823923719779</v>
      </c>
      <c r="H327">
        <v>-1.2235231746627799E-2</v>
      </c>
      <c r="I327" s="50">
        <v>231.823923719779</v>
      </c>
      <c r="J327">
        <v>-7.3089029441664403E-3</v>
      </c>
      <c r="L327">
        <v>231.823923719779</v>
      </c>
      <c r="M327">
        <f t="shared" si="20"/>
        <v>0.99886055098047932</v>
      </c>
      <c r="N327">
        <f t="shared" si="21"/>
        <v>0.99915888538710773</v>
      </c>
      <c r="O327">
        <f t="shared" si="22"/>
        <v>0.9997014144487012</v>
      </c>
      <c r="P327">
        <f t="shared" si="23"/>
        <v>-2.5938684111918402E-3</v>
      </c>
      <c r="S327">
        <v>231.823923719779</v>
      </c>
      <c r="T327">
        <v>0</v>
      </c>
      <c r="U327">
        <v>231.823923719779</v>
      </c>
      <c r="V327">
        <v>-5.9170670037929085E-3</v>
      </c>
    </row>
    <row r="328" spans="1:22" x14ac:dyDescent="0.3">
      <c r="A328">
        <v>228.63685002583199</v>
      </c>
      <c r="B328">
        <v>-1.06767871696064E-2</v>
      </c>
      <c r="C328">
        <v>228.63685002583199</v>
      </c>
      <c r="D328">
        <v>-9.8857886260273996E-3</v>
      </c>
      <c r="G328" s="50">
        <v>228.63685002583199</v>
      </c>
      <c r="H328">
        <v>-1.2243606384205998E-2</v>
      </c>
      <c r="I328" s="50">
        <v>228.63685002583199</v>
      </c>
      <c r="J328">
        <v>-7.3077918551659295E-3</v>
      </c>
      <c r="L328">
        <v>228.63685002583199</v>
      </c>
      <c r="M328">
        <f t="shared" si="20"/>
        <v>0.99886250396349741</v>
      </c>
      <c r="N328">
        <f t="shared" si="21"/>
        <v>0.99915901319837008</v>
      </c>
      <c r="O328">
        <f t="shared" si="22"/>
        <v>0.99970324119488896</v>
      </c>
      <c r="P328">
        <f t="shared" si="23"/>
        <v>-2.5779967708614701E-3</v>
      </c>
      <c r="S328">
        <v>228.63685002583199</v>
      </c>
      <c r="T328">
        <v>0</v>
      </c>
      <c r="U328">
        <v>228.63685002583199</v>
      </c>
      <c r="V328">
        <v>-6.0386312590026085E-3</v>
      </c>
    </row>
    <row r="329" spans="1:22" x14ac:dyDescent="0.3">
      <c r="A329">
        <v>225.49359164899101</v>
      </c>
      <c r="B329">
        <v>-1.0664884061607503E-2</v>
      </c>
      <c r="C329">
        <v>225.49359164899101</v>
      </c>
      <c r="D329">
        <v>-9.9041474523402905E-3</v>
      </c>
      <c r="G329" s="50">
        <v>225.49359164899101</v>
      </c>
      <c r="H329">
        <v>-1.2228608945467401E-2</v>
      </c>
      <c r="I329" s="50">
        <v>225.49359164899101</v>
      </c>
      <c r="J329">
        <v>-7.308492589866801E-3</v>
      </c>
      <c r="L329">
        <v>225.49359164899101</v>
      </c>
      <c r="M329">
        <f t="shared" si="20"/>
        <v>0.99886039273199367</v>
      </c>
      <c r="N329">
        <f t="shared" si="21"/>
        <v>0.99915893259115607</v>
      </c>
      <c r="O329">
        <f t="shared" si="22"/>
        <v>0.9997012088373286</v>
      </c>
      <c r="P329">
        <f t="shared" si="23"/>
        <v>-2.5956548624734895E-3</v>
      </c>
      <c r="S329">
        <v>225.49359164899101</v>
      </c>
      <c r="T329">
        <v>0</v>
      </c>
      <c r="U329">
        <v>225.49359164899101</v>
      </c>
      <c r="V329">
        <v>-5.6558457869755295E-3</v>
      </c>
    </row>
    <row r="330" spans="1:22" x14ac:dyDescent="0.3">
      <c r="A330">
        <v>222.393546224142</v>
      </c>
      <c r="B330">
        <v>-1.0677085088287299E-2</v>
      </c>
      <c r="C330">
        <v>222.393546224142</v>
      </c>
      <c r="D330">
        <v>-9.9116964109406801E-3</v>
      </c>
      <c r="G330" s="50">
        <v>222.393546224142</v>
      </c>
      <c r="H330">
        <v>-1.2251738918830302E-2</v>
      </c>
      <c r="I330" s="50">
        <v>222.393546224142</v>
      </c>
      <c r="J330">
        <v>-7.3283394224306179E-3</v>
      </c>
      <c r="L330">
        <v>222.393546224142</v>
      </c>
      <c r="M330">
        <f t="shared" si="20"/>
        <v>0.99885952461683336</v>
      </c>
      <c r="N330">
        <f t="shared" si="21"/>
        <v>0.9991566495645221</v>
      </c>
      <c r="O330">
        <f t="shared" si="22"/>
        <v>0.99970262426035172</v>
      </c>
      <c r="P330">
        <f t="shared" si="23"/>
        <v>-2.5833569885100622E-3</v>
      </c>
      <c r="S330">
        <v>222.393546224142</v>
      </c>
      <c r="T330">
        <v>0</v>
      </c>
      <c r="U330">
        <v>222.393546224142</v>
      </c>
      <c r="V330">
        <v>-5.799518565595462E-3</v>
      </c>
    </row>
    <row r="331" spans="1:22" x14ac:dyDescent="0.3">
      <c r="A331">
        <v>219.33611966737601</v>
      </c>
      <c r="B331">
        <v>-1.07026481262373E-2</v>
      </c>
      <c r="C331">
        <v>219.33611966737601</v>
      </c>
      <c r="D331">
        <v>-9.9213079966299703E-3</v>
      </c>
      <c r="G331" s="50">
        <v>219.33611966737601</v>
      </c>
      <c r="H331">
        <v>-1.2241231262178701E-2</v>
      </c>
      <c r="I331" s="50">
        <v>219.33611966737601</v>
      </c>
      <c r="J331">
        <v>-7.3351998562310389E-3</v>
      </c>
      <c r="L331">
        <v>219.33611966737601</v>
      </c>
      <c r="M331">
        <f t="shared" si="20"/>
        <v>0.99885841930476993</v>
      </c>
      <c r="N331">
        <f t="shared" si="21"/>
        <v>0.99915586039431292</v>
      </c>
      <c r="O331">
        <f t="shared" si="22"/>
        <v>0.99970230761652579</v>
      </c>
      <c r="P331">
        <f t="shared" si="23"/>
        <v>-2.5861081403989314E-3</v>
      </c>
      <c r="S331">
        <v>219.33611966737601</v>
      </c>
      <c r="T331">
        <v>0</v>
      </c>
      <c r="U331">
        <v>219.33611966737601</v>
      </c>
      <c r="V331">
        <v>-5.8524894183165097E-3</v>
      </c>
    </row>
    <row r="332" spans="1:22" x14ac:dyDescent="0.3">
      <c r="A332">
        <v>216.32072606214399</v>
      </c>
      <c r="B332">
        <v>-1.0695028933492799E-2</v>
      </c>
      <c r="C332">
        <v>216.32072606214399</v>
      </c>
      <c r="D332">
        <v>-9.902108632134022E-3</v>
      </c>
      <c r="G332" s="50">
        <v>216.32072606214399</v>
      </c>
      <c r="H332">
        <v>-1.2259868354601203E-2</v>
      </c>
      <c r="I332" s="50">
        <v>216.32072606214399</v>
      </c>
      <c r="J332">
        <v>-7.3370434795966902E-3</v>
      </c>
      <c r="L332">
        <v>216.32072606214399</v>
      </c>
      <c r="M332">
        <f t="shared" si="20"/>
        <v>0.99886062719237456</v>
      </c>
      <c r="N332">
        <f t="shared" si="21"/>
        <v>0.99915564831852421</v>
      </c>
      <c r="O332">
        <f t="shared" si="22"/>
        <v>0.99970472956175938</v>
      </c>
      <c r="P332">
        <f t="shared" si="23"/>
        <v>-2.5650651525373318E-3</v>
      </c>
      <c r="S332">
        <v>216.32072606214399</v>
      </c>
      <c r="T332">
        <v>0</v>
      </c>
      <c r="U332">
        <v>216.32072606214399</v>
      </c>
      <c r="V332">
        <v>-5.7262173995695784E-3</v>
      </c>
    </row>
    <row r="333" spans="1:22" x14ac:dyDescent="0.3">
      <c r="A333">
        <v>213.34678754697296</v>
      </c>
      <c r="B333">
        <v>-1.0696665527081902E-2</v>
      </c>
      <c r="C333">
        <v>213.34678754697296</v>
      </c>
      <c r="D333">
        <v>-9.9040566835799371E-3</v>
      </c>
      <c r="G333" s="50">
        <v>213.34678754697296</v>
      </c>
      <c r="H333">
        <v>-1.2234135905387503E-2</v>
      </c>
      <c r="I333" s="50">
        <v>213.34678754697296</v>
      </c>
      <c r="J333">
        <v>-7.3216484574407199E-3</v>
      </c>
      <c r="L333">
        <v>213.34678754697296</v>
      </c>
      <c r="M333">
        <f t="shared" si="20"/>
        <v>0.9988604031702244</v>
      </c>
      <c r="N333">
        <f t="shared" si="21"/>
        <v>0.99915741924097612</v>
      </c>
      <c r="O333">
        <f t="shared" si="22"/>
        <v>0.99970273345817984</v>
      </c>
      <c r="P333">
        <f t="shared" si="23"/>
        <v>-2.5824082261392172E-3</v>
      </c>
      <c r="S333">
        <v>213.34678754697296</v>
      </c>
      <c r="T333">
        <v>0</v>
      </c>
      <c r="U333">
        <v>213.34678754697296</v>
      </c>
      <c r="V333">
        <v>-5.344356111493199E-3</v>
      </c>
    </row>
    <row r="334" spans="1:22" x14ac:dyDescent="0.3">
      <c r="A334">
        <v>210.41373420472701</v>
      </c>
      <c r="B334">
        <v>-1.0681258287963201E-2</v>
      </c>
      <c r="C334">
        <v>210.41373420472701</v>
      </c>
      <c r="D334">
        <v>-9.9002392368935672E-3</v>
      </c>
      <c r="G334" s="50">
        <v>210.41373420472701</v>
      </c>
      <c r="H334">
        <v>-1.22821721681364E-2</v>
      </c>
      <c r="I334" s="50">
        <v>210.41373420472701</v>
      </c>
      <c r="J334">
        <v>-7.3596819300259979E-3</v>
      </c>
      <c r="L334">
        <v>210.41373420472701</v>
      </c>
      <c r="M334">
        <f t="shared" si="20"/>
        <v>0.99886084216926008</v>
      </c>
      <c r="N334">
        <f t="shared" si="21"/>
        <v>0.99915304417466788</v>
      </c>
      <c r="O334">
        <f t="shared" si="22"/>
        <v>0.99970755030261738</v>
      </c>
      <c r="P334">
        <f t="shared" si="23"/>
        <v>-2.5405573068675693E-3</v>
      </c>
      <c r="S334">
        <v>210.41373420472701</v>
      </c>
      <c r="T334">
        <v>0</v>
      </c>
      <c r="U334">
        <v>210.41373420472701</v>
      </c>
      <c r="V334">
        <v>-4.9261286725936796E-3</v>
      </c>
    </row>
    <row r="335" spans="1:22" x14ac:dyDescent="0.3">
      <c r="A335">
        <v>207.521003953384</v>
      </c>
      <c r="B335">
        <v>-1.0691068210971901E-2</v>
      </c>
      <c r="C335">
        <v>207.521003953384</v>
      </c>
      <c r="D335">
        <v>-9.9143155566731589E-3</v>
      </c>
      <c r="G335" s="50">
        <v>207.521003953384</v>
      </c>
      <c r="H335">
        <v>-1.2285639286121898E-2</v>
      </c>
      <c r="I335" s="50">
        <v>207.521003953384</v>
      </c>
      <c r="J335">
        <v>-7.3501743934244763E-3</v>
      </c>
      <c r="L335">
        <v>207.521003953384</v>
      </c>
      <c r="M335">
        <f t="shared" si="20"/>
        <v>0.99885922342048228</v>
      </c>
      <c r="N335">
        <f t="shared" si="21"/>
        <v>0.99915413784379481</v>
      </c>
      <c r="O335">
        <f t="shared" si="22"/>
        <v>0.99970483590855264</v>
      </c>
      <c r="P335">
        <f t="shared" si="23"/>
        <v>-2.5641411632486826E-3</v>
      </c>
      <c r="S335">
        <v>207.521003953384</v>
      </c>
      <c r="T335">
        <v>0</v>
      </c>
      <c r="U335">
        <v>207.521003953384</v>
      </c>
      <c r="V335">
        <v>-5.4530731185877803E-3</v>
      </c>
    </row>
    <row r="336" spans="1:22" x14ac:dyDescent="0.3">
      <c r="A336">
        <v>204.66804243832999</v>
      </c>
      <c r="B336">
        <v>-1.06939949654473E-2</v>
      </c>
      <c r="C336">
        <v>204.66804243832999</v>
      </c>
      <c r="D336">
        <v>-9.8918547974663623E-3</v>
      </c>
      <c r="G336" s="50">
        <v>204.66804243832999</v>
      </c>
      <c r="H336">
        <v>-1.2245459768722503E-2</v>
      </c>
      <c r="I336" s="50">
        <v>204.66804243832999</v>
      </c>
      <c r="J336">
        <v>-7.343888290667522E-3</v>
      </c>
      <c r="L336">
        <v>204.66804243832999</v>
      </c>
      <c r="M336">
        <f t="shared" si="20"/>
        <v>0.99886180636436483</v>
      </c>
      <c r="N336">
        <f t="shared" si="21"/>
        <v>0.99915486094621886</v>
      </c>
      <c r="O336">
        <f t="shared" si="22"/>
        <v>0.99970669753677976</v>
      </c>
      <c r="P336">
        <f t="shared" si="23"/>
        <v>-2.5479665067988403E-3</v>
      </c>
      <c r="S336">
        <v>204.66804243832999</v>
      </c>
      <c r="T336">
        <v>0</v>
      </c>
      <c r="U336">
        <v>204.66804243832999</v>
      </c>
      <c r="V336">
        <v>-5.2606975912681282E-3</v>
      </c>
    </row>
    <row r="337" spans="1:22" x14ac:dyDescent="0.3">
      <c r="A337">
        <v>201.85430292611599</v>
      </c>
      <c r="B337">
        <v>-1.0685268180767702E-2</v>
      </c>
      <c r="C337">
        <v>201.85430292611599</v>
      </c>
      <c r="D337">
        <v>-9.88180280956189E-3</v>
      </c>
      <c r="G337" s="50">
        <v>201.85430292611599</v>
      </c>
      <c r="H337">
        <v>-1.2229743050231799E-2</v>
      </c>
      <c r="I337" s="50">
        <v>201.85430292611599</v>
      </c>
      <c r="J337">
        <v>-7.3402321780393987E-3</v>
      </c>
      <c r="L337">
        <v>201.85430292611599</v>
      </c>
      <c r="M337">
        <f t="shared" si="20"/>
        <v>0.99886296232570271</v>
      </c>
      <c r="N337">
        <f t="shared" si="21"/>
        <v>0.99915528151608857</v>
      </c>
      <c r="O337">
        <f t="shared" si="22"/>
        <v>0.99970743367343029</v>
      </c>
      <c r="P337">
        <f t="shared" si="23"/>
        <v>-2.5415706315224914E-3</v>
      </c>
      <c r="S337">
        <v>201.85430292611599</v>
      </c>
      <c r="T337">
        <v>0</v>
      </c>
      <c r="U337">
        <v>201.85430292611599</v>
      </c>
      <c r="V337">
        <v>-5.2469596762989602E-3</v>
      </c>
    </row>
    <row r="338" spans="1:22" x14ac:dyDescent="0.3">
      <c r="A338">
        <v>199.07924619968696</v>
      </c>
      <c r="B338">
        <v>-1.06975131971178E-2</v>
      </c>
      <c r="C338">
        <v>199.07924619968696</v>
      </c>
      <c r="D338">
        <v>-9.9132711147022091E-3</v>
      </c>
      <c r="G338" s="50">
        <v>199.07924619968696</v>
      </c>
      <c r="H338">
        <v>-1.22744716554034E-2</v>
      </c>
      <c r="I338" s="50">
        <v>199.07924619968696</v>
      </c>
      <c r="J338">
        <v>-7.3753174141039501E-3</v>
      </c>
      <c r="L338">
        <v>199.07924619968696</v>
      </c>
      <c r="M338">
        <f t="shared" si="20"/>
        <v>0.99885934352914141</v>
      </c>
      <c r="N338">
        <f t="shared" si="21"/>
        <v>0.99915124559926516</v>
      </c>
      <c r="O338">
        <f t="shared" si="22"/>
        <v>0.9997078499662494</v>
      </c>
      <c r="P338">
        <f t="shared" si="23"/>
        <v>-2.537953700598259E-3</v>
      </c>
      <c r="S338">
        <v>199.07924619968696</v>
      </c>
      <c r="T338">
        <v>0</v>
      </c>
      <c r="U338">
        <v>199.07924619968696</v>
      </c>
      <c r="V338">
        <v>-5.251079802519599E-3</v>
      </c>
    </row>
    <row r="339" spans="1:22" x14ac:dyDescent="0.3">
      <c r="A339">
        <v>196.34234045504601</v>
      </c>
      <c r="B339">
        <v>-1.07074320138528E-2</v>
      </c>
      <c r="C339">
        <v>196.34234045504601</v>
      </c>
      <c r="D339">
        <v>-9.9308850390743188E-3</v>
      </c>
      <c r="G339" s="50">
        <v>196.34234045504601</v>
      </c>
      <c r="H339">
        <v>-1.2276279040140302E-2</v>
      </c>
      <c r="I339" s="50">
        <v>196.34234045504601</v>
      </c>
      <c r="J339">
        <v>-7.3476619638437697E-3</v>
      </c>
      <c r="L339">
        <v>196.34234045504601</v>
      </c>
      <c r="M339">
        <f t="shared" si="20"/>
        <v>0.99885731796632282</v>
      </c>
      <c r="N339">
        <f t="shared" si="21"/>
        <v>0.99915442685331224</v>
      </c>
      <c r="O339">
        <f t="shared" si="22"/>
        <v>0.99970263967310324</v>
      </c>
      <c r="P339">
        <f t="shared" si="23"/>
        <v>-2.5832230752305492E-3</v>
      </c>
      <c r="S339">
        <v>196.34234045504601</v>
      </c>
      <c r="T339">
        <v>0</v>
      </c>
      <c r="U339">
        <v>196.34234045504601</v>
      </c>
      <c r="V339">
        <v>-4.9236754841785997E-3</v>
      </c>
    </row>
    <row r="340" spans="1:22" x14ac:dyDescent="0.3">
      <c r="A340">
        <v>193.64306119934301</v>
      </c>
      <c r="B340">
        <v>-1.06963086109112E-2</v>
      </c>
      <c r="C340">
        <v>193.64306119934301</v>
      </c>
      <c r="D340">
        <v>-9.9047032765022108E-3</v>
      </c>
      <c r="G340" s="50">
        <v>193.64306119934301</v>
      </c>
      <c r="H340">
        <v>-1.2300086619375801E-2</v>
      </c>
      <c r="I340" s="50">
        <v>193.64306119934301</v>
      </c>
      <c r="J340">
        <v>-7.3783132009610595E-3</v>
      </c>
      <c r="L340">
        <v>193.64306119934301</v>
      </c>
      <c r="M340">
        <f t="shared" si="20"/>
        <v>0.99886032881329956</v>
      </c>
      <c r="N340">
        <f t="shared" si="21"/>
        <v>0.99915090098935444</v>
      </c>
      <c r="O340">
        <f t="shared" si="22"/>
        <v>0.99970918088972627</v>
      </c>
      <c r="P340">
        <f t="shared" si="23"/>
        <v>-2.5263900755411513E-3</v>
      </c>
      <c r="S340">
        <v>193.64306119934301</v>
      </c>
      <c r="T340">
        <v>0</v>
      </c>
      <c r="U340">
        <v>193.64306119934301</v>
      </c>
      <c r="V340">
        <v>-4.9810615067826802E-3</v>
      </c>
    </row>
    <row r="341" spans="1:22" x14ac:dyDescent="0.3">
      <c r="A341">
        <v>190.98089115036294</v>
      </c>
      <c r="B341">
        <v>-1.0735323112667498E-2</v>
      </c>
      <c r="C341">
        <v>190.98089115036294</v>
      </c>
      <c r="D341">
        <v>-9.9370641517991815E-3</v>
      </c>
      <c r="G341" s="50">
        <v>190.98089115036294</v>
      </c>
      <c r="H341">
        <v>-1.2267281719192001E-2</v>
      </c>
      <c r="I341" s="50">
        <v>190.98089115036294</v>
      </c>
      <c r="J341">
        <v>-7.3694257932030776E-3</v>
      </c>
      <c r="L341">
        <v>190.98089115036294</v>
      </c>
      <c r="M341">
        <f t="shared" si="20"/>
        <v>0.99885660738283344</v>
      </c>
      <c r="N341">
        <f t="shared" si="21"/>
        <v>0.99915192332170977</v>
      </c>
      <c r="O341">
        <f t="shared" si="22"/>
        <v>0.99970443339798165</v>
      </c>
      <c r="P341">
        <f t="shared" si="23"/>
        <v>-2.5676383585961039E-3</v>
      </c>
      <c r="S341">
        <v>190.98089115036294</v>
      </c>
      <c r="T341">
        <v>0</v>
      </c>
      <c r="U341">
        <v>190.98089115036294</v>
      </c>
      <c r="V341">
        <v>-4.610776747028921E-3</v>
      </c>
    </row>
    <row r="342" spans="1:22" x14ac:dyDescent="0.3">
      <c r="A342">
        <v>188.355320137392</v>
      </c>
      <c r="B342">
        <v>-1.0730882368896702E-2</v>
      </c>
      <c r="C342">
        <v>188.355320137392</v>
      </c>
      <c r="D342">
        <v>-9.9424562997260171E-3</v>
      </c>
      <c r="G342" s="50">
        <v>188.355320137392</v>
      </c>
      <c r="H342">
        <v>-1.22460608479001E-2</v>
      </c>
      <c r="I342" s="50">
        <v>188.355320137392</v>
      </c>
      <c r="J342">
        <v>-7.3292090846887991E-3</v>
      </c>
      <c r="L342">
        <v>188.355320137392</v>
      </c>
      <c r="M342">
        <f t="shared" si="20"/>
        <v>0.99885598729886538</v>
      </c>
      <c r="N342">
        <f t="shared" si="21"/>
        <v>0.99915654952539878</v>
      </c>
      <c r="O342">
        <f t="shared" si="22"/>
        <v>0.99969918405011093</v>
      </c>
      <c r="P342">
        <f t="shared" si="23"/>
        <v>-2.613247215037218E-3</v>
      </c>
      <c r="S342">
        <v>188.355320137392</v>
      </c>
      <c r="T342">
        <v>0</v>
      </c>
      <c r="U342">
        <v>188.355320137392</v>
      </c>
      <c r="V342">
        <v>-4.8649155182829409E-3</v>
      </c>
    </row>
    <row r="343" spans="1:22" x14ac:dyDescent="0.3">
      <c r="A343">
        <v>185.765845003452</v>
      </c>
      <c r="B343">
        <v>-1.0715628292048198E-2</v>
      </c>
      <c r="C343">
        <v>185.765845003452</v>
      </c>
      <c r="D343">
        <v>-9.9495413770177288E-3</v>
      </c>
      <c r="G343" s="50">
        <v>185.765845003452</v>
      </c>
      <c r="H343">
        <v>-1.2255717678003901E-2</v>
      </c>
      <c r="I343" s="50">
        <v>185.765845003452</v>
      </c>
      <c r="J343">
        <v>-7.3447543481060685E-3</v>
      </c>
      <c r="L343">
        <v>185.765845003452</v>
      </c>
      <c r="M343">
        <f t="shared" si="20"/>
        <v>0.99885517253270084</v>
      </c>
      <c r="N343">
        <f t="shared" si="21"/>
        <v>0.99915476132194403</v>
      </c>
      <c r="O343">
        <f t="shared" si="22"/>
        <v>0.99970015777250887</v>
      </c>
      <c r="P343">
        <f t="shared" si="23"/>
        <v>-2.6047870289116603E-3</v>
      </c>
      <c r="S343">
        <v>185.765845003452</v>
      </c>
      <c r="T343">
        <v>0</v>
      </c>
      <c r="U343">
        <v>185.765845003452</v>
      </c>
      <c r="V343">
        <v>-4.9039499654668396E-3</v>
      </c>
    </row>
    <row r="344" spans="1:22" x14ac:dyDescent="0.3">
      <c r="A344">
        <v>183.211969508876</v>
      </c>
      <c r="B344">
        <v>-1.0695828257748501E-2</v>
      </c>
      <c r="C344">
        <v>183.211969508876</v>
      </c>
      <c r="D344">
        <v>-9.9199289121390585E-3</v>
      </c>
      <c r="G344" s="50">
        <v>183.211969508876</v>
      </c>
      <c r="H344">
        <v>-1.22706125997005E-2</v>
      </c>
      <c r="I344" s="50">
        <v>183.211969508876</v>
      </c>
      <c r="J344">
        <v>-7.3584667916203597E-3</v>
      </c>
      <c r="L344">
        <v>183.211969508876</v>
      </c>
      <c r="M344">
        <f t="shared" si="20"/>
        <v>0.99885857789649968</v>
      </c>
      <c r="N344">
        <f t="shared" si="21"/>
        <v>0.99915318395416897</v>
      </c>
      <c r="O344">
        <f t="shared" si="22"/>
        <v>0.99970514425375356</v>
      </c>
      <c r="P344">
        <f t="shared" si="23"/>
        <v>-2.5614621205186988E-3</v>
      </c>
      <c r="S344">
        <v>183.211969508876</v>
      </c>
      <c r="T344">
        <v>0</v>
      </c>
      <c r="U344">
        <v>183.211969508876</v>
      </c>
      <c r="V344">
        <v>-4.5948246118428003E-3</v>
      </c>
    </row>
    <row r="345" spans="1:22" x14ac:dyDescent="0.3">
      <c r="A345">
        <v>180.69320423621201</v>
      </c>
      <c r="B345">
        <v>-1.06942870715321E-2</v>
      </c>
      <c r="C345">
        <v>180.69320423621201</v>
      </c>
      <c r="D345">
        <v>-9.9442917582266404E-3</v>
      </c>
      <c r="G345" s="50">
        <v>180.69320423621201</v>
      </c>
      <c r="H345">
        <v>-1.2272566830677498E-2</v>
      </c>
      <c r="I345" s="50">
        <v>180.69320423621201</v>
      </c>
      <c r="J345">
        <v>-7.3547260473849404E-3</v>
      </c>
      <c r="L345">
        <v>180.69320423621201</v>
      </c>
      <c r="M345">
        <f t="shared" si="20"/>
        <v>0.99885577622566568</v>
      </c>
      <c r="N345">
        <f t="shared" si="21"/>
        <v>0.99915361425866001</v>
      </c>
      <c r="O345">
        <f t="shared" si="22"/>
        <v>0.99970190966759875</v>
      </c>
      <c r="P345">
        <f t="shared" si="23"/>
        <v>-2.5895657108417E-3</v>
      </c>
      <c r="S345">
        <v>180.69320423621201</v>
      </c>
      <c r="T345">
        <v>0</v>
      </c>
      <c r="U345">
        <v>180.69320423621201</v>
      </c>
      <c r="V345">
        <v>-4.55121226400479E-3</v>
      </c>
    </row>
    <row r="346" spans="1:22" x14ac:dyDescent="0.3">
      <c r="A346">
        <v>178.209066496432</v>
      </c>
      <c r="B346">
        <v>-1.0703558433654701E-2</v>
      </c>
      <c r="C346">
        <v>178.209066496432</v>
      </c>
      <c r="D346">
        <v>-9.9228196839202081E-3</v>
      </c>
      <c r="G346" s="50">
        <v>178.209066496432</v>
      </c>
      <c r="H346">
        <v>-1.22872342974305E-2</v>
      </c>
      <c r="I346" s="50">
        <v>178.209066496432</v>
      </c>
      <c r="J346">
        <v>-7.3676832707167692E-3</v>
      </c>
      <c r="L346">
        <v>178.209066496432</v>
      </c>
      <c r="M346">
        <f t="shared" si="20"/>
        <v>0.99885824546403401</v>
      </c>
      <c r="N346">
        <f t="shared" si="21"/>
        <v>0.99915212376690765</v>
      </c>
      <c r="O346">
        <f t="shared" si="22"/>
        <v>0.99970587231325125</v>
      </c>
      <c r="P346">
        <f t="shared" si="23"/>
        <v>-2.5551364132034389E-3</v>
      </c>
      <c r="S346">
        <v>178.209066496432</v>
      </c>
      <c r="T346">
        <v>0</v>
      </c>
      <c r="U346">
        <v>178.209066496432</v>
      </c>
      <c r="V346">
        <v>-4.8462863916256486E-3</v>
      </c>
    </row>
    <row r="347" spans="1:22" x14ac:dyDescent="0.3">
      <c r="A347">
        <v>175.75908023642799</v>
      </c>
      <c r="B347">
        <v>-1.07142609243758E-2</v>
      </c>
      <c r="C347">
        <v>175.75908023642799</v>
      </c>
      <c r="D347">
        <v>-9.9256094603133102E-3</v>
      </c>
      <c r="G347" s="50">
        <v>175.75908023642799</v>
      </c>
      <c r="H347">
        <v>-1.2283480829306999E-2</v>
      </c>
      <c r="I347" s="50">
        <v>175.75908023642799</v>
      </c>
      <c r="J347">
        <v>-7.3785408041312107E-3</v>
      </c>
      <c r="L347">
        <v>175.75908023642799</v>
      </c>
      <c r="M347">
        <f t="shared" si="20"/>
        <v>0.99885792464592305</v>
      </c>
      <c r="N347">
        <f t="shared" si="21"/>
        <v>0.99915087480782105</v>
      </c>
      <c r="O347">
        <f t="shared" si="22"/>
        <v>0.99970680087533892</v>
      </c>
      <c r="P347">
        <f t="shared" si="23"/>
        <v>-2.5470686561820995E-3</v>
      </c>
      <c r="S347">
        <v>175.75908023642799</v>
      </c>
      <c r="T347">
        <v>0</v>
      </c>
      <c r="U347">
        <v>175.75908023642799</v>
      </c>
      <c r="V347">
        <v>-4.4151279050197402E-3</v>
      </c>
    </row>
    <row r="348" spans="1:22" x14ac:dyDescent="0.3">
      <c r="A348">
        <v>173.34277594778598</v>
      </c>
      <c r="B348">
        <v>-1.07165808636623E-2</v>
      </c>
      <c r="C348">
        <v>173.34277594778598</v>
      </c>
      <c r="D348">
        <v>-9.930058086291868E-3</v>
      </c>
      <c r="G348" s="50">
        <v>173.34277594778598</v>
      </c>
      <c r="H348">
        <v>-1.2289430432975101E-2</v>
      </c>
      <c r="I348" s="50">
        <v>173.34277594778598</v>
      </c>
      <c r="J348">
        <v>-7.3792295938068892E-3</v>
      </c>
      <c r="L348">
        <v>173.34277594778598</v>
      </c>
      <c r="M348">
        <f t="shared" si="20"/>
        <v>0.99885741306399434</v>
      </c>
      <c r="N348">
        <f t="shared" si="21"/>
        <v>0.99915079557531761</v>
      </c>
      <c r="O348">
        <f t="shared" si="22"/>
        <v>0.99970636813519786</v>
      </c>
      <c r="P348">
        <f t="shared" si="23"/>
        <v>-2.5508284924849788E-3</v>
      </c>
      <c r="S348">
        <v>173.34277594778598</v>
      </c>
      <c r="T348">
        <v>0</v>
      </c>
      <c r="U348">
        <v>173.34277594778598</v>
      </c>
      <c r="V348">
        <v>-4.6805873893163196E-3</v>
      </c>
    </row>
    <row r="349" spans="1:22" x14ac:dyDescent="0.3">
      <c r="A349">
        <v>170.95969057680998</v>
      </c>
      <c r="B349">
        <v>-1.0740905157074002E-2</v>
      </c>
      <c r="C349">
        <v>170.95969057680998</v>
      </c>
      <c r="D349">
        <v>-9.9489378564132976E-3</v>
      </c>
      <c r="G349" s="50">
        <v>170.95969057680998</v>
      </c>
      <c r="H349">
        <v>-1.23216998132332E-2</v>
      </c>
      <c r="I349" s="50">
        <v>170.95969057680998</v>
      </c>
      <c r="J349">
        <v>-7.3753688636073985E-3</v>
      </c>
      <c r="L349">
        <v>170.95969057680998</v>
      </c>
      <c r="M349">
        <f t="shared" si="20"/>
        <v>0.9988552419360347</v>
      </c>
      <c r="N349">
        <f t="shared" si="21"/>
        <v>0.99915123968094977</v>
      </c>
      <c r="O349">
        <f t="shared" si="22"/>
        <v>0.99970375081052831</v>
      </c>
      <c r="P349">
        <f t="shared" si="23"/>
        <v>-2.5735689928058992E-3</v>
      </c>
      <c r="S349">
        <v>170.95969057680998</v>
      </c>
      <c r="T349">
        <v>0</v>
      </c>
      <c r="U349">
        <v>170.95969057680998</v>
      </c>
      <c r="V349">
        <v>-4.5512135836247589E-3</v>
      </c>
    </row>
    <row r="350" spans="1:22" x14ac:dyDescent="0.3">
      <c r="A350">
        <v>168.609367435781</v>
      </c>
      <c r="B350">
        <v>-1.0717924041001302E-2</v>
      </c>
      <c r="C350">
        <v>168.609367435781</v>
      </c>
      <c r="D350">
        <v>-9.9318505942709405E-3</v>
      </c>
      <c r="G350" s="50">
        <v>168.609367435781</v>
      </c>
      <c r="H350">
        <v>-1.2306531366792299E-2</v>
      </c>
      <c r="I350" s="50">
        <v>168.609367435781</v>
      </c>
      <c r="J350">
        <v>-7.3749689998360195E-3</v>
      </c>
      <c r="L350">
        <v>168.609367435781</v>
      </c>
      <c r="M350">
        <f t="shared" si="20"/>
        <v>0.99885720692970359</v>
      </c>
      <c r="N350">
        <f t="shared" si="21"/>
        <v>0.99915128567789502</v>
      </c>
      <c r="O350">
        <f t="shared" si="22"/>
        <v>0.99970567145095357</v>
      </c>
      <c r="P350">
        <f t="shared" si="23"/>
        <v>-2.556881594434921E-3</v>
      </c>
      <c r="S350">
        <v>168.609367435781</v>
      </c>
      <c r="T350">
        <v>0</v>
      </c>
      <c r="U350">
        <v>168.609367435781</v>
      </c>
      <c r="V350">
        <v>-4.2448911812016385E-3</v>
      </c>
    </row>
    <row r="351" spans="1:22" x14ac:dyDescent="0.3">
      <c r="A351">
        <v>166.29135611544299</v>
      </c>
      <c r="B351">
        <v>-1.07353817798739E-2</v>
      </c>
      <c r="C351">
        <v>166.29135611544299</v>
      </c>
      <c r="D351">
        <v>-9.9412258460896494E-3</v>
      </c>
      <c r="G351" s="50">
        <v>166.29135611544299</v>
      </c>
      <c r="H351">
        <v>-1.23036547984399E-2</v>
      </c>
      <c r="I351" s="50">
        <v>166.29135611544299</v>
      </c>
      <c r="J351">
        <v>-7.3884089089693303E-3</v>
      </c>
      <c r="L351">
        <v>166.29135611544299</v>
      </c>
      <c r="M351">
        <f t="shared" si="20"/>
        <v>0.99885612879802321</v>
      </c>
      <c r="N351">
        <f t="shared" si="21"/>
        <v>0.99914973966560838</v>
      </c>
      <c r="O351">
        <f t="shared" si="22"/>
        <v>0.99970613927429597</v>
      </c>
      <c r="P351">
        <f t="shared" si="23"/>
        <v>-2.5528169371203191E-3</v>
      </c>
      <c r="S351">
        <v>166.29135611544299</v>
      </c>
      <c r="T351">
        <v>0</v>
      </c>
      <c r="U351">
        <v>166.29135611544299</v>
      </c>
      <c r="V351">
        <v>-4.0964616352425799E-3</v>
      </c>
    </row>
    <row r="352" spans="1:22" x14ac:dyDescent="0.3">
      <c r="A352">
        <v>164.00521239868399</v>
      </c>
      <c r="B352">
        <v>-1.0733250010430002E-2</v>
      </c>
      <c r="C352">
        <v>164.00521239868399</v>
      </c>
      <c r="D352">
        <v>-9.9503302158609197E-3</v>
      </c>
      <c r="G352" s="50">
        <v>164.00521239868399</v>
      </c>
      <c r="H352">
        <v>-1.22961631957458E-2</v>
      </c>
      <c r="I352" s="50">
        <v>164.00521239868399</v>
      </c>
      <c r="J352">
        <v>-7.3709023141954278E-3</v>
      </c>
      <c r="L352">
        <v>164.00521239868399</v>
      </c>
      <c r="M352">
        <f t="shared" si="20"/>
        <v>0.99885508181824822</v>
      </c>
      <c r="N352">
        <f t="shared" si="21"/>
        <v>0.99915175347512808</v>
      </c>
      <c r="O352">
        <f t="shared" si="22"/>
        <v>0.9997030764787751</v>
      </c>
      <c r="P352">
        <f t="shared" si="23"/>
        <v>-2.5794279016654919E-3</v>
      </c>
      <c r="S352">
        <v>164.00521239868399</v>
      </c>
      <c r="T352">
        <v>0</v>
      </c>
      <c r="U352">
        <v>164.00521239868399</v>
      </c>
      <c r="V352">
        <v>-3.6489929618710401E-3</v>
      </c>
    </row>
    <row r="353" spans="1:22" x14ac:dyDescent="0.3">
      <c r="A353">
        <v>161.75049817540997</v>
      </c>
      <c r="B353">
        <v>-1.0719353173443399E-2</v>
      </c>
      <c r="C353">
        <v>161.75049817540997</v>
      </c>
      <c r="D353">
        <v>-9.9326470029857603E-3</v>
      </c>
      <c r="G353" s="50">
        <v>161.75049817540997</v>
      </c>
      <c r="H353">
        <v>-1.2306003989615299E-2</v>
      </c>
      <c r="I353" s="50">
        <v>161.75049817540997</v>
      </c>
      <c r="J353">
        <v>-7.3574340269521379E-3</v>
      </c>
      <c r="L353">
        <v>161.75049817540997</v>
      </c>
      <c r="M353">
        <f t="shared" si="20"/>
        <v>0.9988571153445488</v>
      </c>
      <c r="N353">
        <f t="shared" si="21"/>
        <v>0.9991533027549151</v>
      </c>
      <c r="O353">
        <f t="shared" si="22"/>
        <v>0.99970356159605378</v>
      </c>
      <c r="P353">
        <f t="shared" si="23"/>
        <v>-2.5752129760336223E-3</v>
      </c>
      <c r="S353">
        <v>161.75049817540997</v>
      </c>
      <c r="T353">
        <v>0</v>
      </c>
      <c r="U353">
        <v>161.75049817540997</v>
      </c>
      <c r="V353">
        <v>-3.9961347047778898E-3</v>
      </c>
    </row>
    <row r="354" spans="1:22" x14ac:dyDescent="0.3">
      <c r="A354">
        <v>159.52678135858699</v>
      </c>
      <c r="B354">
        <v>-1.0742113587230999E-2</v>
      </c>
      <c r="C354">
        <v>159.52678135858699</v>
      </c>
      <c r="D354">
        <v>-9.9566879938211474E-3</v>
      </c>
      <c r="G354" s="50">
        <v>159.52678135858699</v>
      </c>
      <c r="H354">
        <v>-1.23189029346885E-2</v>
      </c>
      <c r="I354" s="50">
        <v>159.52678135858699</v>
      </c>
      <c r="J354">
        <v>-7.3895710199696199E-3</v>
      </c>
      <c r="L354">
        <v>159.52678135858699</v>
      </c>
      <c r="M354">
        <f t="shared" si="20"/>
        <v>0.99885435069031947</v>
      </c>
      <c r="N354">
        <f t="shared" si="21"/>
        <v>0.99914960598640301</v>
      </c>
      <c r="O354">
        <f t="shared" si="22"/>
        <v>0.99970449340687872</v>
      </c>
      <c r="P354">
        <f t="shared" si="23"/>
        <v>-2.5671169738515276E-3</v>
      </c>
      <c r="S354">
        <v>159.52678135858699</v>
      </c>
      <c r="T354">
        <v>0</v>
      </c>
      <c r="U354">
        <v>159.52678135858699</v>
      </c>
      <c r="V354">
        <v>-3.9928613699657901E-3</v>
      </c>
    </row>
    <row r="355" spans="1:22" x14ac:dyDescent="0.3">
      <c r="A355">
        <v>157.33363580143299</v>
      </c>
      <c r="B355">
        <v>-1.0736726188041799E-2</v>
      </c>
      <c r="C355">
        <v>157.33363580143299</v>
      </c>
      <c r="D355">
        <v>-9.9433186199451695E-3</v>
      </c>
      <c r="G355" s="50">
        <v>157.33363580143299</v>
      </c>
      <c r="H355">
        <v>-1.23199537250007E-2</v>
      </c>
      <c r="I355" s="50">
        <v>157.33363580143299</v>
      </c>
      <c r="J355">
        <v>-7.4147795035771676E-3</v>
      </c>
      <c r="L355">
        <v>157.33363580143299</v>
      </c>
      <c r="M355">
        <f t="shared" si="20"/>
        <v>0.99885588813416193</v>
      </c>
      <c r="N355">
        <f t="shared" si="21"/>
        <v>0.99914670622472468</v>
      </c>
      <c r="O355">
        <f t="shared" si="22"/>
        <v>0.9997089335442424</v>
      </c>
      <c r="P355">
        <f t="shared" si="23"/>
        <v>-2.5285391163680018E-3</v>
      </c>
      <c r="S355">
        <v>157.33363580143299</v>
      </c>
      <c r="T355">
        <v>0</v>
      </c>
      <c r="U355">
        <v>157.33363580143299</v>
      </c>
      <c r="V355">
        <v>-4.2194197498588402E-3</v>
      </c>
    </row>
    <row r="356" spans="1:22" x14ac:dyDescent="0.3">
      <c r="A356">
        <v>155.17064121575802</v>
      </c>
      <c r="B356">
        <v>-1.0732013760113998E-2</v>
      </c>
      <c r="C356">
        <v>155.17064121575802</v>
      </c>
      <c r="D356">
        <v>-9.9401709065728983E-3</v>
      </c>
      <c r="G356" s="50">
        <v>155.17064121575802</v>
      </c>
      <c r="H356">
        <v>-1.2326410672587901E-2</v>
      </c>
      <c r="I356" s="50">
        <v>155.17064121575802</v>
      </c>
      <c r="J356">
        <v>-7.3945511946470694E-3</v>
      </c>
      <c r="L356">
        <v>155.17064121575802</v>
      </c>
      <c r="M356">
        <f t="shared" si="20"/>
        <v>0.99885625011350265</v>
      </c>
      <c r="N356">
        <f t="shared" si="21"/>
        <v>0.99914903311035375</v>
      </c>
      <c r="O356">
        <f t="shared" si="22"/>
        <v>0.99970696764231493</v>
      </c>
      <c r="P356">
        <f t="shared" si="23"/>
        <v>-2.5456197119258289E-3</v>
      </c>
      <c r="S356">
        <v>155.17064121575802</v>
      </c>
      <c r="T356">
        <v>0</v>
      </c>
      <c r="U356">
        <v>155.17064121575802</v>
      </c>
      <c r="V356">
        <v>-4.1078843984223602E-3</v>
      </c>
    </row>
    <row r="357" spans="1:22" x14ac:dyDescent="0.3">
      <c r="A357">
        <v>153.03738309141798</v>
      </c>
      <c r="B357">
        <v>-1.07271332615958E-2</v>
      </c>
      <c r="C357">
        <v>153.03738309141798</v>
      </c>
      <c r="D357">
        <v>-9.9467927132735213E-3</v>
      </c>
      <c r="G357" s="50">
        <v>153.03738309141798</v>
      </c>
      <c r="H357">
        <v>-1.2329767274077898E-2</v>
      </c>
      <c r="I357" s="50">
        <v>153.03738309141798</v>
      </c>
      <c r="J357">
        <v>-7.4137508310730908E-3</v>
      </c>
      <c r="L357">
        <v>153.03738309141798</v>
      </c>
      <c r="M357">
        <f t="shared" si="20"/>
        <v>0.99885548862207651</v>
      </c>
      <c r="N357">
        <f t="shared" si="21"/>
        <v>0.99914682455397452</v>
      </c>
      <c r="O357">
        <f t="shared" si="22"/>
        <v>0.99970841529519139</v>
      </c>
      <c r="P357">
        <f t="shared" si="23"/>
        <v>-2.5330418822004305E-3</v>
      </c>
      <c r="S357">
        <v>153.03738309141798</v>
      </c>
      <c r="T357">
        <v>0</v>
      </c>
      <c r="U357">
        <v>153.03738309141798</v>
      </c>
      <c r="V357">
        <v>-4.1169391801645404E-3</v>
      </c>
    </row>
    <row r="358" spans="1:22" x14ac:dyDescent="0.3">
      <c r="A358">
        <v>150.93345261687901</v>
      </c>
      <c r="B358">
        <v>-1.07699717992691E-2</v>
      </c>
      <c r="C358">
        <v>150.93345261687901</v>
      </c>
      <c r="D358">
        <v>-9.9793034686805199E-3</v>
      </c>
      <c r="G358" s="50">
        <v>150.93345261687901</v>
      </c>
      <c r="H358">
        <v>-1.2369175041468101E-2</v>
      </c>
      <c r="I358" s="50">
        <v>150.93345261687901</v>
      </c>
      <c r="J358">
        <v>-7.4318479347693497E-3</v>
      </c>
      <c r="L358">
        <v>150.93345261687901</v>
      </c>
      <c r="M358">
        <f t="shared" si="20"/>
        <v>0.99885174997387138</v>
      </c>
      <c r="N358">
        <f t="shared" si="21"/>
        <v>0.99914474282767951</v>
      </c>
      <c r="O358">
        <f t="shared" si="22"/>
        <v>0.99970675634745476</v>
      </c>
      <c r="P358">
        <f t="shared" si="23"/>
        <v>-2.5474555339111702E-3</v>
      </c>
      <c r="S358">
        <v>150.93345261687901</v>
      </c>
      <c r="T358">
        <v>0</v>
      </c>
      <c r="U358">
        <v>150.93345261687901</v>
      </c>
      <c r="V358">
        <v>-3.6506227972381601E-3</v>
      </c>
    </row>
    <row r="359" spans="1:22" x14ac:dyDescent="0.3">
      <c r="A359">
        <v>148.85844660087599</v>
      </c>
      <c r="B359">
        <v>-1.0748545359188899E-2</v>
      </c>
      <c r="C359">
        <v>148.85844660087599</v>
      </c>
      <c r="D359">
        <v>-9.9528295952166588E-3</v>
      </c>
      <c r="G359" s="50">
        <v>148.85844660087599</v>
      </c>
      <c r="H359">
        <v>-1.2377427878904898E-2</v>
      </c>
      <c r="I359" s="50">
        <v>148.85844660087599</v>
      </c>
      <c r="J359">
        <v>-7.4484150050166077E-3</v>
      </c>
      <c r="L359">
        <v>148.85844660087599</v>
      </c>
      <c r="M359">
        <f t="shared" si="20"/>
        <v>0.99885479439605951</v>
      </c>
      <c r="N359">
        <f t="shared" si="21"/>
        <v>0.99914283710632634</v>
      </c>
      <c r="O359">
        <f t="shared" si="22"/>
        <v>0.99971171017839544</v>
      </c>
      <c r="P359">
        <f t="shared" si="23"/>
        <v>-2.5044145902000511E-3</v>
      </c>
      <c r="S359">
        <v>148.85844660087599</v>
      </c>
      <c r="T359">
        <v>0</v>
      </c>
      <c r="U359">
        <v>148.85844660087599</v>
      </c>
      <c r="V359">
        <v>-3.9971844998945016E-3</v>
      </c>
    </row>
    <row r="360" spans="1:22" x14ac:dyDescent="0.3">
      <c r="A360">
        <v>146.81196739514499</v>
      </c>
      <c r="B360">
        <v>-1.07835272727532E-2</v>
      </c>
      <c r="C360">
        <v>146.81196739514499</v>
      </c>
      <c r="D360">
        <v>-9.9910612944899523E-3</v>
      </c>
      <c r="G360" s="50">
        <v>146.81196739514499</v>
      </c>
      <c r="H360">
        <v>-1.23766788267669E-2</v>
      </c>
      <c r="I360" s="50">
        <v>146.81196739514499</v>
      </c>
      <c r="J360">
        <v>-7.4615292744114395E-3</v>
      </c>
      <c r="L360">
        <v>146.81196739514499</v>
      </c>
      <c r="M360">
        <f t="shared" si="20"/>
        <v>0.99885039785941609</v>
      </c>
      <c r="N360">
        <f t="shared" si="21"/>
        <v>0.99914132856557969</v>
      </c>
      <c r="O360">
        <f t="shared" si="22"/>
        <v>0.99970881926525723</v>
      </c>
      <c r="P360">
        <f t="shared" si="23"/>
        <v>-2.5295320200785128E-3</v>
      </c>
      <c r="S360">
        <v>146.81196739514499</v>
      </c>
      <c r="T360">
        <v>0</v>
      </c>
      <c r="U360">
        <v>146.81196739514499</v>
      </c>
      <c r="V360">
        <v>-3.8357896354455105E-3</v>
      </c>
    </row>
    <row r="361" spans="1:22" x14ac:dyDescent="0.3">
      <c r="A361">
        <v>144.79362281821901</v>
      </c>
      <c r="B361">
        <v>-1.0797200027620499E-2</v>
      </c>
      <c r="C361">
        <v>144.79362281821901</v>
      </c>
      <c r="D361">
        <v>-9.995088860258225E-3</v>
      </c>
      <c r="G361" s="50">
        <v>144.79362281821901</v>
      </c>
      <c r="H361">
        <v>-1.2354079536680303E-2</v>
      </c>
      <c r="I361" s="50">
        <v>144.79362281821901</v>
      </c>
      <c r="J361">
        <v>-7.437743095457511E-3</v>
      </c>
      <c r="L361">
        <v>144.79362281821901</v>
      </c>
      <c r="M361">
        <f t="shared" si="20"/>
        <v>0.99884993470193828</v>
      </c>
      <c r="N361">
        <f t="shared" si="21"/>
        <v>0.99914406470292128</v>
      </c>
      <c r="O361">
        <f t="shared" si="22"/>
        <v>0.99970561802709557</v>
      </c>
      <c r="P361">
        <f t="shared" si="23"/>
        <v>-2.557345764800714E-3</v>
      </c>
      <c r="S361">
        <v>144.79362281821901</v>
      </c>
      <c r="T361">
        <v>0</v>
      </c>
      <c r="U361">
        <v>144.79362281821901</v>
      </c>
      <c r="V361">
        <v>-3.6784136677283598E-3</v>
      </c>
    </row>
    <row r="362" spans="1:22" x14ac:dyDescent="0.3">
      <c r="A362">
        <v>142.80302608026898</v>
      </c>
      <c r="B362">
        <v>-1.08114240224223E-2</v>
      </c>
      <c r="C362">
        <v>142.80302608026898</v>
      </c>
      <c r="D362">
        <v>-1.0005194636168798E-2</v>
      </c>
      <c r="G362" s="50">
        <v>142.80302608026898</v>
      </c>
      <c r="H362">
        <v>-1.2356652153259101E-2</v>
      </c>
      <c r="I362" s="50">
        <v>142.80302608026898</v>
      </c>
      <c r="J362">
        <v>-7.4173773619421709E-3</v>
      </c>
      <c r="L362">
        <v>142.80302608026898</v>
      </c>
      <c r="M362">
        <f t="shared" si="20"/>
        <v>0.99884877257023319</v>
      </c>
      <c r="N362">
        <f t="shared" si="21"/>
        <v>0.99914640739048333</v>
      </c>
      <c r="O362">
        <f t="shared" si="22"/>
        <v>0.99970211090381889</v>
      </c>
      <c r="P362">
        <f t="shared" si="23"/>
        <v>-2.5878172742266276E-3</v>
      </c>
      <c r="S362">
        <v>142.80302608026898</v>
      </c>
      <c r="T362">
        <v>0</v>
      </c>
      <c r="U362">
        <v>142.80302608026898</v>
      </c>
      <c r="V362">
        <v>-3.5965005743037186E-3</v>
      </c>
    </row>
    <row r="363" spans="1:22" x14ac:dyDescent="0.3">
      <c r="A363">
        <v>140.839795708987</v>
      </c>
      <c r="B363">
        <v>-1.08239754343774E-2</v>
      </c>
      <c r="C363">
        <v>140.839795708987</v>
      </c>
      <c r="D363">
        <v>-1.0036753253224102E-2</v>
      </c>
      <c r="G363" s="50">
        <v>140.839795708987</v>
      </c>
      <c r="H363">
        <v>-1.2355490735728801E-2</v>
      </c>
      <c r="I363" s="50">
        <v>140.839795708987</v>
      </c>
      <c r="J363">
        <v>-7.4138832870839179E-3</v>
      </c>
      <c r="L363">
        <v>140.839795708987</v>
      </c>
      <c r="M363">
        <f t="shared" si="20"/>
        <v>0.99884514343954445</v>
      </c>
      <c r="N363">
        <f t="shared" si="21"/>
        <v>0.99914680931742339</v>
      </c>
      <c r="O363">
        <f t="shared" si="22"/>
        <v>0.99969807652382436</v>
      </c>
      <c r="P363">
        <f t="shared" si="23"/>
        <v>-2.6228699661401842E-3</v>
      </c>
      <c r="S363">
        <v>140.839795708987</v>
      </c>
      <c r="T363">
        <v>0</v>
      </c>
      <c r="U363">
        <v>140.839795708987</v>
      </c>
      <c r="V363">
        <v>-3.7595295028722804E-3</v>
      </c>
    </row>
    <row r="364" spans="1:22" x14ac:dyDescent="0.3">
      <c r="A364">
        <v>138.90355547647502</v>
      </c>
      <c r="B364">
        <v>-1.0803405289159802E-2</v>
      </c>
      <c r="C364">
        <v>138.90355547647502</v>
      </c>
      <c r="D364">
        <v>-1.0016088471629601E-2</v>
      </c>
      <c r="G364" s="50">
        <v>138.90355547647502</v>
      </c>
      <c r="H364">
        <v>-1.24096465551931E-2</v>
      </c>
      <c r="I364" s="50">
        <v>138.90355547647502</v>
      </c>
      <c r="J364">
        <v>-7.483511367099592E-3</v>
      </c>
      <c r="L364">
        <v>138.90355547647502</v>
      </c>
      <c r="M364">
        <f t="shared" si="20"/>
        <v>0.99884751981573028</v>
      </c>
      <c r="N364">
        <f t="shared" si="21"/>
        <v>0.99913879995994281</v>
      </c>
      <c r="O364">
        <f t="shared" si="22"/>
        <v>0.99970846878909692</v>
      </c>
      <c r="P364">
        <f t="shared" si="23"/>
        <v>-2.532577104530009E-3</v>
      </c>
      <c r="S364">
        <v>138.90355547647502</v>
      </c>
      <c r="T364">
        <v>0</v>
      </c>
      <c r="U364">
        <v>138.90355547647502</v>
      </c>
      <c r="V364">
        <v>-3.434617790389889E-3</v>
      </c>
    </row>
    <row r="365" spans="1:22" x14ac:dyDescent="0.3">
      <c r="A365">
        <v>136.99393432714999</v>
      </c>
      <c r="B365">
        <v>-1.0811429529501503E-2</v>
      </c>
      <c r="C365">
        <v>136.99393432714999</v>
      </c>
      <c r="D365">
        <v>-1.00053201877034E-2</v>
      </c>
      <c r="G365" s="50">
        <v>136.99393432714999</v>
      </c>
      <c r="H365">
        <v>-1.2368435095003001E-2</v>
      </c>
      <c r="I365" s="50">
        <v>136.99393432714999</v>
      </c>
      <c r="J365">
        <v>-7.4515149262243587E-3</v>
      </c>
      <c r="L365">
        <v>136.99393432714999</v>
      </c>
      <c r="M365">
        <f t="shared" si="20"/>
        <v>0.99884875813221918</v>
      </c>
      <c r="N365">
        <f t="shared" si="21"/>
        <v>0.99914248052068599</v>
      </c>
      <c r="O365">
        <f t="shared" si="22"/>
        <v>0.9997060255226925</v>
      </c>
      <c r="P365">
        <f t="shared" si="23"/>
        <v>-2.5538052614790408E-3</v>
      </c>
      <c r="S365">
        <v>136.99393432714999</v>
      </c>
      <c r="T365">
        <v>0</v>
      </c>
      <c r="U365">
        <v>136.99393432714999</v>
      </c>
      <c r="V365">
        <v>-2.9179458203429896E-3</v>
      </c>
    </row>
    <row r="366" spans="1:22" x14ac:dyDescent="0.3">
      <c r="A366">
        <v>135.11056630663401</v>
      </c>
      <c r="B366">
        <v>-1.0828456930869798E-2</v>
      </c>
      <c r="C366">
        <v>135.11056630663401</v>
      </c>
      <c r="D366">
        <v>-1.0047296415222401E-2</v>
      </c>
      <c r="G366" s="50">
        <v>135.11056630663401</v>
      </c>
      <c r="H366">
        <v>-1.2355869956364098E-2</v>
      </c>
      <c r="I366" s="50">
        <v>135.11056630663401</v>
      </c>
      <c r="J366">
        <v>-7.4418428026632906E-3</v>
      </c>
      <c r="L366">
        <v>135.11056630663401</v>
      </c>
      <c r="M366">
        <f t="shared" si="20"/>
        <v>0.99884393101569313</v>
      </c>
      <c r="N366">
        <f t="shared" si="21"/>
        <v>0.99914359311079581</v>
      </c>
      <c r="O366">
        <f t="shared" si="22"/>
        <v>0.99970008105224428</v>
      </c>
      <c r="P366">
        <f t="shared" si="23"/>
        <v>-2.60545361255911E-3</v>
      </c>
      <c r="S366">
        <v>135.11056630663401</v>
      </c>
      <c r="T366">
        <v>0</v>
      </c>
      <c r="U366">
        <v>135.11056630663401</v>
      </c>
      <c r="V366">
        <v>-3.4779960382138597E-3</v>
      </c>
    </row>
    <row r="367" spans="1:22" x14ac:dyDescent="0.3">
      <c r="A367">
        <v>133.25309049162399</v>
      </c>
      <c r="B367">
        <v>-1.0786341337179799E-2</v>
      </c>
      <c r="C367">
        <v>133.25309049162399</v>
      </c>
      <c r="D367">
        <v>-1.0018343365719402E-2</v>
      </c>
      <c r="G367" s="50">
        <v>133.25309049162399</v>
      </c>
      <c r="H367">
        <v>-1.2368746287464301E-2</v>
      </c>
      <c r="I367" s="50">
        <v>133.25309049162399</v>
      </c>
      <c r="J367">
        <v>-7.4636611199171516E-3</v>
      </c>
      <c r="L367">
        <v>133.25309049162399</v>
      </c>
      <c r="M367">
        <f t="shared" si="20"/>
        <v>0.99884726051067696</v>
      </c>
      <c r="N367">
        <f t="shared" si="21"/>
        <v>0.9991410833385761</v>
      </c>
      <c r="O367">
        <f t="shared" si="22"/>
        <v>0.99970592458582797</v>
      </c>
      <c r="P367">
        <f t="shared" si="23"/>
        <v>-2.55468224580225E-3</v>
      </c>
      <c r="S367">
        <v>133.25309049162399</v>
      </c>
      <c r="T367">
        <v>0</v>
      </c>
      <c r="U367">
        <v>133.25309049162399</v>
      </c>
      <c r="V367">
        <v>-3.5702916913464798E-3</v>
      </c>
    </row>
    <row r="368" spans="1:22" x14ac:dyDescent="0.3">
      <c r="A368">
        <v>131.42115092072601</v>
      </c>
      <c r="B368">
        <v>-1.0767554579694097E-2</v>
      </c>
      <c r="C368">
        <v>131.42115092072601</v>
      </c>
      <c r="D368">
        <v>-1.0002308953934702E-2</v>
      </c>
      <c r="G368" s="50">
        <v>131.42115092072601</v>
      </c>
      <c r="H368">
        <v>-1.2409705102889201E-2</v>
      </c>
      <c r="I368" s="50">
        <v>131.42115092072601</v>
      </c>
      <c r="J368">
        <v>-7.49944924869771E-3</v>
      </c>
      <c r="L368">
        <v>131.42115092072601</v>
      </c>
      <c r="M368">
        <f t="shared" si="20"/>
        <v>0.99884910441426489</v>
      </c>
      <c r="N368">
        <f t="shared" si="21"/>
        <v>0.99913696662542573</v>
      </c>
      <c r="O368">
        <f t="shared" si="22"/>
        <v>0.999711889139551</v>
      </c>
      <c r="P368">
        <f t="shared" si="23"/>
        <v>-2.5028597052369917E-3</v>
      </c>
      <c r="S368">
        <v>131.42115092072601</v>
      </c>
      <c r="T368">
        <v>0</v>
      </c>
      <c r="U368">
        <v>131.42115092072601</v>
      </c>
      <c r="V368">
        <v>-3.6499715873219403E-3</v>
      </c>
    </row>
    <row r="369" spans="1:22" x14ac:dyDescent="0.3">
      <c r="A369">
        <v>129.61439652624</v>
      </c>
      <c r="B369">
        <v>-1.082561241222E-2</v>
      </c>
      <c r="C369">
        <v>129.61439652624</v>
      </c>
      <c r="D369">
        <v>-1.0027788351956099E-2</v>
      </c>
      <c r="G369" s="50">
        <v>129.61439652624</v>
      </c>
      <c r="H369">
        <v>-1.24178010950283E-2</v>
      </c>
      <c r="I369" s="50">
        <v>129.61439652624</v>
      </c>
      <c r="J369">
        <v>-7.5077289781218196E-3</v>
      </c>
      <c r="L369">
        <v>129.61439652624</v>
      </c>
      <c r="M369">
        <f t="shared" si="20"/>
        <v>0.99884617437052414</v>
      </c>
      <c r="N369">
        <f t="shared" si="21"/>
        <v>0.99913601420947951</v>
      </c>
      <c r="O369">
        <f t="shared" si="22"/>
        <v>0.99970990952699801</v>
      </c>
      <c r="P369">
        <f t="shared" si="23"/>
        <v>-2.5200593738342793E-3</v>
      </c>
      <c r="S369">
        <v>129.61439652624</v>
      </c>
      <c r="T369">
        <v>0</v>
      </c>
      <c r="U369">
        <v>129.61439652624</v>
      </c>
      <c r="V369">
        <v>-3.6732720822101302E-3</v>
      </c>
    </row>
    <row r="370" spans="1:22" x14ac:dyDescent="0.3">
      <c r="A370">
        <v>127.83248106688099</v>
      </c>
      <c r="B370">
        <v>-1.0817429117347699E-2</v>
      </c>
      <c r="C370">
        <v>127.83248106688099</v>
      </c>
      <c r="D370">
        <v>-1.00560408482977E-2</v>
      </c>
      <c r="G370" s="50">
        <v>127.83248106688099</v>
      </c>
      <c r="H370">
        <v>-1.23982640332858E-2</v>
      </c>
      <c r="I370" s="50">
        <v>127.83248106688099</v>
      </c>
      <c r="J370">
        <v>-7.5093265109627393E-3</v>
      </c>
      <c r="L370">
        <v>127.83248106688099</v>
      </c>
      <c r="M370">
        <f t="shared" si="20"/>
        <v>0.99884292543999786</v>
      </c>
      <c r="N370">
        <f t="shared" si="21"/>
        <v>0.99913583044563781</v>
      </c>
      <c r="O370">
        <f t="shared" si="22"/>
        <v>0.99970684165584445</v>
      </c>
      <c r="P370">
        <f t="shared" si="23"/>
        <v>-2.5467143373349606E-3</v>
      </c>
      <c r="S370">
        <v>127.83248106688099</v>
      </c>
      <c r="T370">
        <v>0</v>
      </c>
      <c r="U370">
        <v>127.83248106688099</v>
      </c>
      <c r="V370">
        <v>-3.4003165495732901E-3</v>
      </c>
    </row>
    <row r="371" spans="1:22" x14ac:dyDescent="0.3">
      <c r="A371">
        <v>126.07506306142599</v>
      </c>
      <c r="B371">
        <v>-1.08053573413424E-2</v>
      </c>
      <c r="C371">
        <v>126.07506306142599</v>
      </c>
      <c r="D371">
        <v>-1.0034780221824101E-2</v>
      </c>
      <c r="G371" s="50">
        <v>126.07506306142599</v>
      </c>
      <c r="H371">
        <v>-1.2435101307331999E-2</v>
      </c>
      <c r="I371" s="50">
        <v>126.07506306142599</v>
      </c>
      <c r="J371">
        <v>-7.51845282775657E-3</v>
      </c>
      <c r="L371">
        <v>126.07506306142599</v>
      </c>
      <c r="M371">
        <f t="shared" si="20"/>
        <v>0.99884537033087462</v>
      </c>
      <c r="N371">
        <f t="shared" si="21"/>
        <v>0.99913478064812744</v>
      </c>
      <c r="O371">
        <f t="shared" si="22"/>
        <v>0.99971033906249862</v>
      </c>
      <c r="P371">
        <f t="shared" si="23"/>
        <v>-2.5163273940675308E-3</v>
      </c>
      <c r="S371">
        <v>126.07506306142599</v>
      </c>
      <c r="T371">
        <v>0</v>
      </c>
      <c r="U371">
        <v>126.07506306142599</v>
      </c>
      <c r="V371">
        <v>-3.0913896948163706E-3</v>
      </c>
    </row>
    <row r="372" spans="1:22" x14ac:dyDescent="0.3">
      <c r="A372">
        <v>124.34180572327699</v>
      </c>
      <c r="B372">
        <v>-1.0818923986394599E-2</v>
      </c>
      <c r="C372">
        <v>124.34180572327699</v>
      </c>
      <c r="D372">
        <v>-1.0067184004232899E-2</v>
      </c>
      <c r="G372" s="50">
        <v>124.34180572327699</v>
      </c>
      <c r="H372">
        <v>-1.24356959032357E-2</v>
      </c>
      <c r="I372" s="50">
        <v>124.34180572327699</v>
      </c>
      <c r="J372">
        <v>-7.5192564611550779E-3</v>
      </c>
      <c r="L372">
        <v>124.34180572327699</v>
      </c>
      <c r="M372">
        <f t="shared" si="20"/>
        <v>0.99884164402199738</v>
      </c>
      <c r="N372">
        <f t="shared" si="21"/>
        <v>0.99913468820646911</v>
      </c>
      <c r="O372">
        <f t="shared" si="22"/>
        <v>0.99970670202132828</v>
      </c>
      <c r="P372">
        <f t="shared" si="23"/>
        <v>-2.5479275430778207E-3</v>
      </c>
      <c r="S372">
        <v>124.34180572327699</v>
      </c>
      <c r="T372">
        <v>0</v>
      </c>
      <c r="U372">
        <v>124.34180572327699</v>
      </c>
      <c r="V372">
        <v>-3.4977892297547398E-3</v>
      </c>
    </row>
    <row r="373" spans="1:22" x14ac:dyDescent="0.3">
      <c r="A373">
        <v>122.632376895916</v>
      </c>
      <c r="B373">
        <v>-1.0821535909648697E-2</v>
      </c>
      <c r="C373">
        <v>122.632376895916</v>
      </c>
      <c r="D373">
        <v>-1.0046104561478399E-2</v>
      </c>
      <c r="G373" s="50">
        <v>122.632376895916</v>
      </c>
      <c r="H373">
        <v>-1.2422500899910703E-2</v>
      </c>
      <c r="I373" s="50">
        <v>122.632376895916</v>
      </c>
      <c r="J373">
        <v>-7.5019847999911529E-3</v>
      </c>
      <c r="L373">
        <v>122.632376895916</v>
      </c>
      <c r="M373">
        <f t="shared" si="20"/>
        <v>0.99884406807430304</v>
      </c>
      <c r="N373">
        <f t="shared" si="21"/>
        <v>0.99913667496127134</v>
      </c>
      <c r="O373">
        <f t="shared" si="22"/>
        <v>0.99970714027990248</v>
      </c>
      <c r="P373">
        <f t="shared" si="23"/>
        <v>-2.5441197614872457E-3</v>
      </c>
      <c r="S373">
        <v>122.632376895916</v>
      </c>
      <c r="T373">
        <v>0</v>
      </c>
      <c r="U373">
        <v>122.632376895916</v>
      </c>
      <c r="V373">
        <v>-3.4018955389569787E-3</v>
      </c>
    </row>
    <row r="374" spans="1:22" x14ac:dyDescent="0.3">
      <c r="A374">
        <v>120.94644898925399</v>
      </c>
      <c r="B374">
        <v>-1.0810531185383001E-2</v>
      </c>
      <c r="C374">
        <v>120.94644898925399</v>
      </c>
      <c r="D374">
        <v>-1.00475476016476E-2</v>
      </c>
      <c r="G374" s="50">
        <v>120.94644898925399</v>
      </c>
      <c r="H374">
        <v>-1.24036832583124E-2</v>
      </c>
      <c r="I374" s="50">
        <v>120.94644898925399</v>
      </c>
      <c r="J374">
        <v>-7.4980770301171801E-3</v>
      </c>
      <c r="L374">
        <v>120.94644898925399</v>
      </c>
      <c r="M374">
        <f t="shared" si="20"/>
        <v>0.99884390213021979</v>
      </c>
      <c r="N374">
        <f t="shared" si="21"/>
        <v>0.99913712447159653</v>
      </c>
      <c r="O374">
        <f t="shared" si="22"/>
        <v>0.99970652442573205</v>
      </c>
      <c r="P374">
        <f t="shared" si="23"/>
        <v>-2.5494705715304201E-3</v>
      </c>
      <c r="S374">
        <v>120.94644898925399</v>
      </c>
      <c r="T374">
        <v>0</v>
      </c>
      <c r="U374">
        <v>120.94644898925399</v>
      </c>
      <c r="V374">
        <v>-3.0406624458123592E-3</v>
      </c>
    </row>
    <row r="375" spans="1:22" x14ac:dyDescent="0.3">
      <c r="A375">
        <v>119.28369891685</v>
      </c>
      <c r="B375">
        <v>-1.0844753382125002E-2</v>
      </c>
      <c r="C375">
        <v>119.28369891685</v>
      </c>
      <c r="D375">
        <v>-1.0093362313025801E-2</v>
      </c>
      <c r="G375" s="50">
        <v>119.28369891685</v>
      </c>
      <c r="H375">
        <v>-1.24273481090363E-2</v>
      </c>
      <c r="I375" s="50">
        <v>119.28369891685</v>
      </c>
      <c r="J375">
        <v>-7.4940453323084381E-3</v>
      </c>
      <c r="L375">
        <v>119.28369891685</v>
      </c>
      <c r="M375">
        <f t="shared" si="20"/>
        <v>0.99883863362851111</v>
      </c>
      <c r="N375">
        <f t="shared" si="21"/>
        <v>0.99913758823755017</v>
      </c>
      <c r="O375">
        <f t="shared" si="22"/>
        <v>0.99970078734644907</v>
      </c>
      <c r="P375">
        <f t="shared" si="23"/>
        <v>-2.5993169807173632E-3</v>
      </c>
      <c r="S375">
        <v>119.28369891685</v>
      </c>
      <c r="T375">
        <v>0</v>
      </c>
      <c r="U375">
        <v>119.28369891685</v>
      </c>
      <c r="V375">
        <v>-2.9888660425285698E-3</v>
      </c>
    </row>
    <row r="376" spans="1:22" x14ac:dyDescent="0.3">
      <c r="A376">
        <v>117.643808034</v>
      </c>
      <c r="B376">
        <v>-1.0892887469243799E-2</v>
      </c>
      <c r="C376">
        <v>117.643808034</v>
      </c>
      <c r="D376">
        <v>-1.0127725394736E-2</v>
      </c>
      <c r="G376" s="50">
        <v>117.643808034</v>
      </c>
      <c r="H376">
        <v>-1.2442080645604002E-2</v>
      </c>
      <c r="I376" s="50">
        <v>117.643808034</v>
      </c>
      <c r="J376">
        <v>-7.5046714272994485E-3</v>
      </c>
      <c r="L376">
        <v>117.643808034</v>
      </c>
      <c r="M376">
        <f t="shared" si="20"/>
        <v>0.99883468203493575</v>
      </c>
      <c r="N376">
        <f t="shared" si="21"/>
        <v>0.99913636591895416</v>
      </c>
      <c r="O376">
        <f t="shared" si="22"/>
        <v>0.99969805534628808</v>
      </c>
      <c r="P376">
        <f t="shared" si="23"/>
        <v>-2.6230539674365512E-3</v>
      </c>
      <c r="S376">
        <v>117.643808034</v>
      </c>
      <c r="T376">
        <v>0</v>
      </c>
      <c r="U376">
        <v>117.643808034</v>
      </c>
      <c r="V376">
        <v>-3.0496797295427305E-3</v>
      </c>
    </row>
    <row r="377" spans="1:22" x14ac:dyDescent="0.3">
      <c r="A377">
        <v>116.026462076668</v>
      </c>
      <c r="B377">
        <v>-1.0860022453383199E-2</v>
      </c>
      <c r="C377">
        <v>116.026462076668</v>
      </c>
      <c r="D377">
        <v>-1.0097916802365601E-2</v>
      </c>
      <c r="G377" s="50">
        <v>116.026462076668</v>
      </c>
      <c r="H377">
        <v>-1.2462329809220201E-2</v>
      </c>
      <c r="I377" s="50">
        <v>116.026462076668</v>
      </c>
      <c r="J377">
        <v>-7.5093069949227279E-3</v>
      </c>
      <c r="L377">
        <v>116.026462076668</v>
      </c>
      <c r="M377">
        <f t="shared" si="20"/>
        <v>0.99883810988265354</v>
      </c>
      <c r="N377">
        <f t="shared" si="21"/>
        <v>0.99913583269056327</v>
      </c>
      <c r="O377">
        <f t="shared" si="22"/>
        <v>0.99970201968724515</v>
      </c>
      <c r="P377">
        <f t="shared" si="23"/>
        <v>-2.5886098074428734E-3</v>
      </c>
      <c r="S377">
        <v>116.026462076668</v>
      </c>
      <c r="T377">
        <v>0</v>
      </c>
      <c r="U377">
        <v>116.026462076668</v>
      </c>
      <c r="V377">
        <v>-3.0673172353203886E-3</v>
      </c>
    </row>
    <row r="378" spans="1:22" x14ac:dyDescent="0.3">
      <c r="A378">
        <v>114.431351101266</v>
      </c>
      <c r="B378">
        <v>-1.0842397459553999E-2</v>
      </c>
      <c r="C378">
        <v>114.431351101266</v>
      </c>
      <c r="D378">
        <v>-1.0077021893909599E-2</v>
      </c>
      <c r="G378" s="50">
        <v>114.431351101266</v>
      </c>
      <c r="H378">
        <v>-1.24787764316666E-2</v>
      </c>
      <c r="I378" s="50">
        <v>114.431351101266</v>
      </c>
      <c r="J378">
        <v>-7.4966266957525417E-3</v>
      </c>
      <c r="L378">
        <v>114.431351101266</v>
      </c>
      <c r="M378">
        <f t="shared" si="20"/>
        <v>0.99884051270571961</v>
      </c>
      <c r="N378">
        <f t="shared" si="21"/>
        <v>0.99913729130344553</v>
      </c>
      <c r="O378">
        <f t="shared" si="22"/>
        <v>0.99970296514772383</v>
      </c>
      <c r="P378">
        <f t="shared" si="23"/>
        <v>-2.5803951981570577E-3</v>
      </c>
      <c r="S378">
        <v>114.431351101266</v>
      </c>
      <c r="T378">
        <v>0</v>
      </c>
      <c r="U378">
        <v>114.431351101266</v>
      </c>
      <c r="V378">
        <v>-2.9296346049250098E-3</v>
      </c>
    </row>
    <row r="379" spans="1:22" x14ac:dyDescent="0.3">
      <c r="A379">
        <v>112.858169425252</v>
      </c>
      <c r="B379">
        <v>-1.0903370755609501E-2</v>
      </c>
      <c r="C379">
        <v>112.858169425252</v>
      </c>
      <c r="D379">
        <v>-1.0134224908222703E-2</v>
      </c>
      <c r="G379" s="50">
        <v>112.858169425252</v>
      </c>
      <c r="H379">
        <v>-1.2506733490425298E-2</v>
      </c>
      <c r="I379" s="50">
        <v>112.858169425252</v>
      </c>
      <c r="J379">
        <v>-7.5826901453017485E-3</v>
      </c>
      <c r="L379">
        <v>112.858169425252</v>
      </c>
      <c r="M379">
        <f t="shared" si="20"/>
        <v>0.99883393462306103</v>
      </c>
      <c r="N379">
        <f t="shared" si="21"/>
        <v>0.99912739147977281</v>
      </c>
      <c r="O379">
        <f t="shared" si="22"/>
        <v>0.99970628684668816</v>
      </c>
      <c r="P379">
        <f t="shared" si="23"/>
        <v>-2.5515347629209541E-3</v>
      </c>
      <c r="S379">
        <v>112.858169425252</v>
      </c>
      <c r="T379">
        <v>0</v>
      </c>
      <c r="U379">
        <v>112.858169425252</v>
      </c>
      <c r="V379">
        <v>-2.4256183069155694E-3</v>
      </c>
    </row>
    <row r="380" spans="1:22" x14ac:dyDescent="0.3">
      <c r="A380">
        <v>111.30661556855399</v>
      </c>
      <c r="B380">
        <v>-1.09383776074976E-2</v>
      </c>
      <c r="C380">
        <v>111.30661556855399</v>
      </c>
      <c r="D380">
        <v>-1.01750753156795E-2</v>
      </c>
      <c r="G380" s="50">
        <v>111.30661556855399</v>
      </c>
      <c r="H380">
        <v>-1.2498278690909297E-2</v>
      </c>
      <c r="I380" s="50">
        <v>111.30661556855399</v>
      </c>
      <c r="J380">
        <v>-7.5912423994444912E-3</v>
      </c>
      <c r="L380">
        <v>111.30661556855399</v>
      </c>
      <c r="M380">
        <f t="shared" si="20"/>
        <v>0.99882923704124027</v>
      </c>
      <c r="N380">
        <f t="shared" si="21"/>
        <v>0.99912640772479533</v>
      </c>
      <c r="O380">
        <f t="shared" si="22"/>
        <v>0.99970256948344327</v>
      </c>
      <c r="P380">
        <f t="shared" si="23"/>
        <v>-2.5838329162350092E-3</v>
      </c>
      <c r="S380">
        <v>111.30661556855399</v>
      </c>
      <c r="T380">
        <v>0</v>
      </c>
      <c r="U380">
        <v>111.30661556855399</v>
      </c>
      <c r="V380">
        <v>-2.8454115417844198E-3</v>
      </c>
    </row>
    <row r="381" spans="1:22" x14ac:dyDescent="0.3">
      <c r="A381">
        <v>109.776392195794</v>
      </c>
      <c r="B381">
        <v>-1.0932811302770502E-2</v>
      </c>
      <c r="C381">
        <v>109.776392195794</v>
      </c>
      <c r="D381">
        <v>-1.0171384368277699E-2</v>
      </c>
      <c r="G381" s="50">
        <v>109.776392195794</v>
      </c>
      <c r="H381">
        <v>-1.25247927034684E-2</v>
      </c>
      <c r="I381" s="50">
        <v>109.776392195794</v>
      </c>
      <c r="J381">
        <v>-7.6107356347575985E-3</v>
      </c>
      <c r="L381">
        <v>109.776392195794</v>
      </c>
      <c r="M381">
        <f t="shared" si="20"/>
        <v>0.99882966147985441</v>
      </c>
      <c r="N381">
        <f t="shared" si="21"/>
        <v>0.9991241654462113</v>
      </c>
      <c r="O381">
        <f t="shared" si="22"/>
        <v>0.99970523787078525</v>
      </c>
      <c r="P381">
        <f t="shared" si="23"/>
        <v>-2.5606487335201001E-3</v>
      </c>
      <c r="S381">
        <v>109.776392195794</v>
      </c>
      <c r="T381">
        <v>0</v>
      </c>
      <c r="U381">
        <v>109.776392195794</v>
      </c>
      <c r="V381">
        <v>-2.8412469679324199E-3</v>
      </c>
    </row>
    <row r="382" spans="1:22" x14ac:dyDescent="0.3">
      <c r="A382">
        <v>108.26720605930799</v>
      </c>
      <c r="B382">
        <v>-1.0921990253285102E-2</v>
      </c>
      <c r="C382">
        <v>108.26720605930799</v>
      </c>
      <c r="D382">
        <v>-1.01513698062176E-2</v>
      </c>
      <c r="G382" s="50">
        <v>108.26720605930799</v>
      </c>
      <c r="H382">
        <v>-1.2494244446609799E-2</v>
      </c>
      <c r="I382" s="50">
        <v>108.26720605930799</v>
      </c>
      <c r="J382">
        <v>-7.5839870588283401E-3</v>
      </c>
      <c r="L382">
        <v>108.26720605930799</v>
      </c>
      <c r="M382">
        <f t="shared" si="20"/>
        <v>0.99883196304735211</v>
      </c>
      <c r="N382">
        <f t="shared" si="21"/>
        <v>0.99912724229738781</v>
      </c>
      <c r="O382">
        <f t="shared" si="22"/>
        <v>0.99970446281761194</v>
      </c>
      <c r="P382">
        <f t="shared" si="23"/>
        <v>-2.5673827473892599E-3</v>
      </c>
      <c r="S382">
        <v>108.26720605930799</v>
      </c>
      <c r="T382">
        <v>0</v>
      </c>
      <c r="U382">
        <v>108.26720605930799</v>
      </c>
      <c r="V382">
        <v>-3.35248245238518E-3</v>
      </c>
    </row>
    <row r="383" spans="1:22" x14ac:dyDescent="0.3">
      <c r="A383">
        <v>106.77876794294799</v>
      </c>
      <c r="B383">
        <v>-1.09586583185616E-2</v>
      </c>
      <c r="C383">
        <v>106.77876794294799</v>
      </c>
      <c r="D383">
        <v>-1.0199515170874E-2</v>
      </c>
      <c r="G383" s="50">
        <v>106.77876794294799</v>
      </c>
      <c r="H383">
        <v>-1.25320415360318E-2</v>
      </c>
      <c r="I383" s="50">
        <v>106.77876794294799</v>
      </c>
      <c r="J383">
        <v>-7.6171036725474197E-3</v>
      </c>
      <c r="L383">
        <v>106.77876794294799</v>
      </c>
      <c r="M383">
        <f t="shared" si="20"/>
        <v>0.9988264265971073</v>
      </c>
      <c r="N383">
        <f t="shared" si="21"/>
        <v>0.99912343294115136</v>
      </c>
      <c r="O383">
        <f t="shared" si="22"/>
        <v>0.99970273308156754</v>
      </c>
      <c r="P383">
        <f t="shared" si="23"/>
        <v>-2.5824114983265803E-3</v>
      </c>
      <c r="S383">
        <v>106.77876794294799</v>
      </c>
      <c r="T383">
        <v>0</v>
      </c>
      <c r="U383">
        <v>106.77876794294799</v>
      </c>
      <c r="V383">
        <v>-2.6081407927449601E-3</v>
      </c>
    </row>
    <row r="384" spans="1:22" x14ac:dyDescent="0.3">
      <c r="A384">
        <v>105.31079260665599</v>
      </c>
      <c r="B384">
        <v>-1.09359129964461E-2</v>
      </c>
      <c r="C384">
        <v>105.31079260665599</v>
      </c>
      <c r="D384">
        <v>-1.01808799320977E-2</v>
      </c>
      <c r="G384" s="50">
        <v>105.31079260665599</v>
      </c>
      <c r="H384">
        <v>-1.25194858031104E-2</v>
      </c>
      <c r="I384" s="50">
        <v>105.31079260665599</v>
      </c>
      <c r="J384">
        <v>-7.6009801091671608E-3</v>
      </c>
      <c r="L384">
        <v>105.31079260665599</v>
      </c>
      <c r="M384">
        <f t="shared" si="20"/>
        <v>0.9988285695427005</v>
      </c>
      <c r="N384">
        <f t="shared" si="21"/>
        <v>0.99912528760954111</v>
      </c>
      <c r="O384">
        <f t="shared" si="22"/>
        <v>0.99970302216296558</v>
      </c>
      <c r="P384">
        <f t="shared" si="23"/>
        <v>-2.5798998229305389E-3</v>
      </c>
      <c r="S384">
        <v>105.31079260665599</v>
      </c>
      <c r="T384">
        <v>0</v>
      </c>
      <c r="U384">
        <v>105.31079260665599</v>
      </c>
      <c r="V384">
        <v>-2.5699437377966201E-3</v>
      </c>
    </row>
    <row r="385" spans="1:22" x14ac:dyDescent="0.3">
      <c r="A385">
        <v>103.86299873180499</v>
      </c>
      <c r="B385">
        <v>-1.0928979402272202E-2</v>
      </c>
      <c r="C385">
        <v>103.86299873180499</v>
      </c>
      <c r="D385">
        <v>-1.01806786285086E-2</v>
      </c>
      <c r="G385" s="50">
        <v>103.86299873180499</v>
      </c>
      <c r="H385">
        <v>-1.25490645207872E-2</v>
      </c>
      <c r="I385" s="50">
        <v>103.86299873180499</v>
      </c>
      <c r="J385">
        <v>-7.6304079657625763E-3</v>
      </c>
      <c r="L385">
        <v>103.86299873180499</v>
      </c>
      <c r="M385">
        <f t="shared" si="20"/>
        <v>0.99882859269148394</v>
      </c>
      <c r="N385">
        <f t="shared" si="21"/>
        <v>0.99912190257161126</v>
      </c>
      <c r="O385">
        <f t="shared" si="22"/>
        <v>0.99970643233886436</v>
      </c>
      <c r="P385">
        <f t="shared" si="23"/>
        <v>-2.5502706627460233E-3</v>
      </c>
      <c r="S385">
        <v>103.86299873180499</v>
      </c>
      <c r="T385">
        <v>0</v>
      </c>
      <c r="U385">
        <v>103.86299873180499</v>
      </c>
      <c r="V385">
        <v>-2.7086641273399398E-3</v>
      </c>
    </row>
    <row r="386" spans="1:22" x14ac:dyDescent="0.3">
      <c r="A386">
        <v>102.435108867285</v>
      </c>
      <c r="B386">
        <v>-1.0949729321570199E-2</v>
      </c>
      <c r="C386">
        <v>102.435108867285</v>
      </c>
      <c r="D386">
        <v>-1.0186365351690598E-2</v>
      </c>
      <c r="G386" s="50">
        <v>102.435108867285</v>
      </c>
      <c r="H386">
        <v>-1.2573839702696498E-2</v>
      </c>
      <c r="I386" s="50">
        <v>102.435108867285</v>
      </c>
      <c r="J386">
        <v>-7.6384799908027099E-3</v>
      </c>
      <c r="L386">
        <v>102.435108867285</v>
      </c>
      <c r="M386">
        <f t="shared" si="20"/>
        <v>0.99882793875042641</v>
      </c>
      <c r="N386">
        <f t="shared" si="21"/>
        <v>0.99912097406185529</v>
      </c>
      <c r="O386">
        <f t="shared" si="22"/>
        <v>0.99970670687630792</v>
      </c>
      <c r="P386">
        <f t="shared" si="23"/>
        <v>-2.5478853608878879E-3</v>
      </c>
      <c r="S386">
        <v>102.435108867285</v>
      </c>
      <c r="T386">
        <v>0</v>
      </c>
      <c r="U386">
        <v>102.435108867285</v>
      </c>
      <c r="V386">
        <v>-2.7523364412331795E-3</v>
      </c>
    </row>
    <row r="387" spans="1:22" x14ac:dyDescent="0.3">
      <c r="A387">
        <v>101.026849376336</v>
      </c>
      <c r="B387">
        <v>-1.09686997439539E-2</v>
      </c>
      <c r="C387">
        <v>101.026849376336</v>
      </c>
      <c r="D387">
        <v>-1.0204443902131002E-2</v>
      </c>
      <c r="G387" s="50">
        <v>101.026849376336</v>
      </c>
      <c r="H387">
        <v>-1.2593415698962702E-2</v>
      </c>
      <c r="I387" s="50">
        <v>101.026849376336</v>
      </c>
      <c r="J387">
        <v>-7.6695173096467395E-3</v>
      </c>
      <c r="L387">
        <v>101.026849376336</v>
      </c>
      <c r="M387">
        <f t="shared" si="20"/>
        <v>0.99882585982204586</v>
      </c>
      <c r="N387">
        <f t="shared" si="21"/>
        <v>0.99911740390587567</v>
      </c>
      <c r="O387">
        <f t="shared" si="22"/>
        <v>0.99970819837319413</v>
      </c>
      <c r="P387">
        <f t="shared" si="23"/>
        <v>-2.5349265924842629E-3</v>
      </c>
      <c r="S387">
        <v>101.026849376336</v>
      </c>
      <c r="T387">
        <v>0</v>
      </c>
      <c r="U387">
        <v>101.026849376336</v>
      </c>
      <c r="V387">
        <v>-2.6208827572986597E-3</v>
      </c>
    </row>
    <row r="388" spans="1:22" x14ac:dyDescent="0.3">
      <c r="A388">
        <v>99.637950384103917</v>
      </c>
      <c r="B388">
        <v>-1.0971346560110897E-2</v>
      </c>
      <c r="C388">
        <v>99.637950384103917</v>
      </c>
      <c r="D388">
        <v>-1.02018972614963E-2</v>
      </c>
      <c r="G388" s="50">
        <v>99.637950384103917</v>
      </c>
      <c r="H388">
        <v>-1.26047517167856E-2</v>
      </c>
      <c r="I388" s="50">
        <v>99.637950384103917</v>
      </c>
      <c r="J388">
        <v>-7.6853820086091196E-3</v>
      </c>
      <c r="L388">
        <v>99.637950384103917</v>
      </c>
      <c r="M388">
        <f t="shared" si="20"/>
        <v>0.99882615267067743</v>
      </c>
      <c r="N388">
        <f t="shared" si="21"/>
        <v>0.99911557902862902</v>
      </c>
      <c r="O388">
        <f t="shared" si="22"/>
        <v>0.99971031744071792</v>
      </c>
      <c r="P388">
        <f t="shared" si="23"/>
        <v>-2.5165152528871804E-3</v>
      </c>
      <c r="S388">
        <v>99.637950384103917</v>
      </c>
      <c r="T388">
        <v>0</v>
      </c>
      <c r="U388">
        <v>99.637950384103917</v>
      </c>
      <c r="V388">
        <v>-2.5707634399054803E-3</v>
      </c>
    </row>
    <row r="389" spans="1:22" x14ac:dyDescent="0.3">
      <c r="A389">
        <v>98.268145725927866</v>
      </c>
      <c r="B389">
        <v>-1.0971944557688899E-2</v>
      </c>
      <c r="C389">
        <v>98.268145725927866</v>
      </c>
      <c r="D389">
        <v>-1.02192517892036E-2</v>
      </c>
      <c r="G389" s="50">
        <v>98.268145725927866</v>
      </c>
      <c r="H389">
        <v>-1.25629429402902E-2</v>
      </c>
      <c r="I389" s="50">
        <v>98.268145725927866</v>
      </c>
      <c r="J389">
        <v>-7.6240193039898907E-3</v>
      </c>
      <c r="L389">
        <v>98.268145725927866</v>
      </c>
      <c r="M389">
        <f t="shared" ref="M389:M452" si="24">10^(D389/20)</f>
        <v>0.99882415700419469</v>
      </c>
      <c r="N389">
        <f t="shared" ref="N389:N452" si="25">10^(J389/20)</f>
        <v>0.99912263744788987</v>
      </c>
      <c r="O389">
        <f t="shared" ref="O389:O452" si="26">M389/N389</f>
        <v>0.99970125745077942</v>
      </c>
      <c r="P389">
        <f t="shared" ref="P389:P452" si="27">D389-J389</f>
        <v>-2.5952324852137098E-3</v>
      </c>
      <c r="S389">
        <v>98.268145725927866</v>
      </c>
      <c r="T389">
        <v>0</v>
      </c>
      <c r="U389">
        <v>98.268145725927866</v>
      </c>
      <c r="V389">
        <v>-2.7046254638776195E-3</v>
      </c>
    </row>
    <row r="390" spans="1:22" x14ac:dyDescent="0.3">
      <c r="A390">
        <v>96.917172896330499</v>
      </c>
      <c r="B390">
        <v>-1.1021278274862399E-2</v>
      </c>
      <c r="C390">
        <v>96.917172896330499</v>
      </c>
      <c r="D390">
        <v>-1.0262165823106599E-2</v>
      </c>
      <c r="G390" s="50">
        <v>96.917172896330499</v>
      </c>
      <c r="H390">
        <v>-1.2642010976604201E-2</v>
      </c>
      <c r="I390" s="50">
        <v>96.917172896330499</v>
      </c>
      <c r="J390">
        <v>-7.7259320431252825E-3</v>
      </c>
      <c r="L390">
        <v>96.917172896330499</v>
      </c>
      <c r="M390">
        <f t="shared" si="24"/>
        <v>0.99881922216508945</v>
      </c>
      <c r="N390">
        <f t="shared" si="25"/>
        <v>0.99911091467318225</v>
      </c>
      <c r="O390">
        <f t="shared" si="26"/>
        <v>0.99970804792159818</v>
      </c>
      <c r="P390">
        <f t="shared" si="27"/>
        <v>-2.5362337799813162E-3</v>
      </c>
      <c r="S390">
        <v>96.917172896330499</v>
      </c>
      <c r="T390">
        <v>0</v>
      </c>
      <c r="U390">
        <v>96.917172896330499</v>
      </c>
      <c r="V390">
        <v>-2.4529916581172997E-3</v>
      </c>
    </row>
    <row r="391" spans="1:22" x14ac:dyDescent="0.3">
      <c r="A391">
        <v>95.584772998712609</v>
      </c>
      <c r="B391">
        <v>-1.0998124038444398E-2</v>
      </c>
      <c r="C391">
        <v>95.584772998712609</v>
      </c>
      <c r="D391">
        <v>-1.0225916598366601E-2</v>
      </c>
      <c r="G391" s="50">
        <v>95.584772998712609</v>
      </c>
      <c r="H391">
        <v>-1.26514397365869E-2</v>
      </c>
      <c r="I391" s="50">
        <v>95.584772998712609</v>
      </c>
      <c r="J391">
        <v>-7.7223944400310303E-3</v>
      </c>
      <c r="L391">
        <v>95.584772998712609</v>
      </c>
      <c r="M391">
        <f t="shared" si="24"/>
        <v>0.99882339059221859</v>
      </c>
      <c r="N391">
        <f t="shared" si="25"/>
        <v>0.9991113215927645</v>
      </c>
      <c r="O391">
        <f t="shared" si="26"/>
        <v>0.99971181289379552</v>
      </c>
      <c r="P391">
        <f t="shared" si="27"/>
        <v>-2.5035221583355706E-3</v>
      </c>
      <c r="S391">
        <v>95.584772998712609</v>
      </c>
      <c r="T391">
        <v>0</v>
      </c>
      <c r="U391">
        <v>95.584772998712609</v>
      </c>
      <c r="V391">
        <v>-2.5317992457871701E-3</v>
      </c>
    </row>
    <row r="392" spans="1:22" x14ac:dyDescent="0.3">
      <c r="A392">
        <v>94.270690695738807</v>
      </c>
      <c r="B392">
        <v>-1.10250853950514E-2</v>
      </c>
      <c r="C392">
        <v>94.270690695738807</v>
      </c>
      <c r="D392">
        <v>-1.0244343870305501E-2</v>
      </c>
      <c r="G392" s="50">
        <v>94.270690695738807</v>
      </c>
      <c r="H392">
        <v>-1.2692170273238402E-2</v>
      </c>
      <c r="I392" s="50">
        <v>94.270690695738807</v>
      </c>
      <c r="J392">
        <v>-7.75635679543067E-3</v>
      </c>
      <c r="L392">
        <v>94.270690695738807</v>
      </c>
      <c r="M392">
        <f t="shared" si="24"/>
        <v>0.99882127157258105</v>
      </c>
      <c r="N392">
        <f t="shared" si="25"/>
        <v>0.99910741501452494</v>
      </c>
      <c r="O392">
        <f t="shared" si="26"/>
        <v>0.99971360092253969</v>
      </c>
      <c r="P392">
        <f t="shared" si="27"/>
        <v>-2.4879870748748308E-3</v>
      </c>
      <c r="S392">
        <v>94.270690695738807</v>
      </c>
      <c r="T392">
        <v>0</v>
      </c>
      <c r="U392">
        <v>94.270690695738807</v>
      </c>
      <c r="V392">
        <v>-2.5449389214031691E-3</v>
      </c>
    </row>
    <row r="393" spans="1:22" x14ac:dyDescent="0.3">
      <c r="A393">
        <v>92.974674160405684</v>
      </c>
      <c r="B393">
        <v>-1.1080231991490498E-2</v>
      </c>
      <c r="C393">
        <v>92.974674160405684</v>
      </c>
      <c r="D393">
        <v>-1.02928289640096E-2</v>
      </c>
      <c r="G393" s="50">
        <v>92.974674160405684</v>
      </c>
      <c r="H393">
        <v>-1.26578826987114E-2</v>
      </c>
      <c r="I393" s="50">
        <v>92.974674160405684</v>
      </c>
      <c r="J393">
        <v>-7.7190897291898883E-3</v>
      </c>
      <c r="L393">
        <v>92.974674160405684</v>
      </c>
      <c r="M393">
        <f t="shared" si="24"/>
        <v>0.99881569611516685</v>
      </c>
      <c r="N393">
        <f t="shared" si="25"/>
        <v>0.99911170172361818</v>
      </c>
      <c r="O393">
        <f t="shared" si="26"/>
        <v>0.99970373121649891</v>
      </c>
      <c r="P393">
        <f t="shared" si="27"/>
        <v>-2.5737392348197117E-3</v>
      </c>
      <c r="S393">
        <v>92.974674160405684</v>
      </c>
      <c r="T393">
        <v>0</v>
      </c>
      <c r="U393">
        <v>92.974674160405684</v>
      </c>
      <c r="V393">
        <v>-2.41259051517773E-3</v>
      </c>
    </row>
    <row r="394" spans="1:22" x14ac:dyDescent="0.3">
      <c r="A394">
        <v>91.696475027782483</v>
      </c>
      <c r="B394">
        <v>-1.1067311254824299E-2</v>
      </c>
      <c r="C394">
        <v>91.696475027782483</v>
      </c>
      <c r="D394">
        <v>-1.0292323730367396E-2</v>
      </c>
      <c r="G394" s="50">
        <v>91.696475027782483</v>
      </c>
      <c r="H394">
        <v>-1.2704097686695002E-2</v>
      </c>
      <c r="I394" s="50">
        <v>91.696475027782483</v>
      </c>
      <c r="J394">
        <v>-7.7791076585459378E-3</v>
      </c>
      <c r="L394">
        <v>91.696475027782483</v>
      </c>
      <c r="M394">
        <f t="shared" si="24"/>
        <v>0.99881575421345348</v>
      </c>
      <c r="N394">
        <f t="shared" si="25"/>
        <v>0.99910479806597807</v>
      </c>
      <c r="O394">
        <f t="shared" si="26"/>
        <v>0.99971069716301619</v>
      </c>
      <c r="P394">
        <f t="shared" si="27"/>
        <v>-2.513216071821458E-3</v>
      </c>
      <c r="S394">
        <v>91.696475027782483</v>
      </c>
      <c r="T394">
        <v>0</v>
      </c>
      <c r="U394">
        <v>91.696475027782483</v>
      </c>
      <c r="V394">
        <v>-2.3972941082206494E-3</v>
      </c>
    </row>
    <row r="395" spans="1:22" x14ac:dyDescent="0.3">
      <c r="A395">
        <v>90.435848347414591</v>
      </c>
      <c r="B395">
        <v>-1.1081031157510302E-2</v>
      </c>
      <c r="C395">
        <v>90.435848347414591</v>
      </c>
      <c r="D395">
        <v>-1.0278286929305802E-2</v>
      </c>
      <c r="G395" s="50">
        <v>90.435848347414591</v>
      </c>
      <c r="H395">
        <v>-1.2693542931926198E-2</v>
      </c>
      <c r="I395" s="50">
        <v>90.435848347414591</v>
      </c>
      <c r="J395">
        <v>-7.7669645959765991E-3</v>
      </c>
      <c r="L395">
        <v>90.435848347414591</v>
      </c>
      <c r="M395">
        <f t="shared" si="24"/>
        <v>0.99881736834740542</v>
      </c>
      <c r="N395">
        <f t="shared" si="25"/>
        <v>0.99910619483718544</v>
      </c>
      <c r="O395">
        <f t="shared" si="26"/>
        <v>0.99971091512466592</v>
      </c>
      <c r="P395">
        <f t="shared" si="27"/>
        <v>-2.5113223333292026E-3</v>
      </c>
      <c r="S395">
        <v>90.435848347414591</v>
      </c>
      <c r="T395">
        <v>0</v>
      </c>
      <c r="U395">
        <v>90.435848347414591</v>
      </c>
      <c r="V395">
        <v>-2.3818549906877702E-3</v>
      </c>
    </row>
    <row r="396" spans="1:22" x14ac:dyDescent="0.3">
      <c r="A396">
        <v>89.192552536382394</v>
      </c>
      <c r="B396">
        <v>-1.1072820534261098E-2</v>
      </c>
      <c r="C396">
        <v>89.192552536382394</v>
      </c>
      <c r="D396">
        <v>-1.03204528862495E-2</v>
      </c>
      <c r="G396" s="50">
        <v>89.192552536382394</v>
      </c>
      <c r="H396">
        <v>-1.2718003163131699E-2</v>
      </c>
      <c r="I396" s="50">
        <v>89.192552536382394</v>
      </c>
      <c r="J396">
        <v>-7.7864682109588688E-3</v>
      </c>
      <c r="L396">
        <v>89.192552536382394</v>
      </c>
      <c r="M396">
        <f t="shared" si="24"/>
        <v>0.99881251956510708</v>
      </c>
      <c r="N396">
        <f t="shared" si="25"/>
        <v>0.99910395141003117</v>
      </c>
      <c r="O396">
        <f t="shared" si="26"/>
        <v>0.99970830678378086</v>
      </c>
      <c r="P396">
        <f t="shared" si="27"/>
        <v>-2.5339846752906311E-3</v>
      </c>
      <c r="S396">
        <v>89.192552536382394</v>
      </c>
      <c r="T396">
        <v>0</v>
      </c>
      <c r="U396">
        <v>89.192552536382394</v>
      </c>
      <c r="V396">
        <v>-2.4748893434889401E-3</v>
      </c>
    </row>
    <row r="397" spans="1:22" x14ac:dyDescent="0.3">
      <c r="A397">
        <v>87.966349333005013</v>
      </c>
      <c r="B397">
        <v>-1.1060374653199298E-2</v>
      </c>
      <c r="C397">
        <v>87.966349333005013</v>
      </c>
      <c r="D397">
        <v>-1.0298038868692801E-2</v>
      </c>
      <c r="G397" s="50">
        <v>87.966349333005013</v>
      </c>
      <c r="H397">
        <v>-1.2767567064592001E-2</v>
      </c>
      <c r="I397" s="50">
        <v>87.966349333005013</v>
      </c>
      <c r="J397">
        <v>-7.8198823979197408E-3</v>
      </c>
      <c r="L397">
        <v>87.966349333005013</v>
      </c>
      <c r="M397">
        <f t="shared" si="24"/>
        <v>0.99881509701326376</v>
      </c>
      <c r="N397">
        <f t="shared" si="25"/>
        <v>0.99910010791403892</v>
      </c>
      <c r="O397">
        <f t="shared" si="26"/>
        <v>0.99971473238915942</v>
      </c>
      <c r="P397">
        <f t="shared" si="27"/>
        <v>-2.4781564707730599E-3</v>
      </c>
      <c r="S397">
        <v>87.966349333005013</v>
      </c>
      <c r="T397">
        <v>0</v>
      </c>
      <c r="U397">
        <v>87.966349333005013</v>
      </c>
      <c r="V397">
        <v>-2.0037562504739998E-3</v>
      </c>
    </row>
    <row r="398" spans="1:22" x14ac:dyDescent="0.3">
      <c r="A398">
        <v>86.757003751180306</v>
      </c>
      <c r="B398">
        <v>-1.1075814626985299E-2</v>
      </c>
      <c r="C398">
        <v>86.757003751180306</v>
      </c>
      <c r="D398">
        <v>-1.0334989074187199E-2</v>
      </c>
      <c r="G398" s="50">
        <v>86.757003751180306</v>
      </c>
      <c r="H398">
        <v>-1.2751089977773499E-2</v>
      </c>
      <c r="I398" s="50">
        <v>86.757003751180306</v>
      </c>
      <c r="J398">
        <v>-7.8203066181056005E-3</v>
      </c>
      <c r="L398">
        <v>86.757003751180306</v>
      </c>
      <c r="M398">
        <f t="shared" si="24"/>
        <v>0.99881084801331976</v>
      </c>
      <c r="N398">
        <f t="shared" si="25"/>
        <v>0.99910005911783728</v>
      </c>
      <c r="O398">
        <f t="shared" si="26"/>
        <v>0.99971052838814478</v>
      </c>
      <c r="P398">
        <f t="shared" si="27"/>
        <v>-2.5146824560815986E-3</v>
      </c>
      <c r="S398">
        <v>86.757003751180306</v>
      </c>
      <c r="T398">
        <v>0</v>
      </c>
      <c r="U398">
        <v>86.757003751180306</v>
      </c>
      <c r="V398">
        <v>-2.658710685523149E-3</v>
      </c>
    </row>
    <row r="399" spans="1:22" x14ac:dyDescent="0.3">
      <c r="A399">
        <v>85.564284035352813</v>
      </c>
      <c r="B399">
        <v>-1.112224861049E-2</v>
      </c>
      <c r="C399">
        <v>85.564284035352813</v>
      </c>
      <c r="D399">
        <v>-1.03663499521029E-2</v>
      </c>
      <c r="G399" s="50">
        <v>85.564284035352813</v>
      </c>
      <c r="H399">
        <v>-1.2732081549365802E-2</v>
      </c>
      <c r="I399" s="50">
        <v>85.564284035352813</v>
      </c>
      <c r="J399">
        <v>-7.7826639332961986E-3</v>
      </c>
      <c r="L399">
        <v>85.564284035352813</v>
      </c>
      <c r="M399">
        <f t="shared" si="24"/>
        <v>0.99880724175882851</v>
      </c>
      <c r="N399">
        <f t="shared" si="25"/>
        <v>0.99910438900132403</v>
      </c>
      <c r="O399">
        <f t="shared" si="26"/>
        <v>0.99970258639060472</v>
      </c>
      <c r="P399">
        <f t="shared" si="27"/>
        <v>-2.5836860188067018E-3</v>
      </c>
      <c r="S399">
        <v>85.564284035352813</v>
      </c>
      <c r="T399">
        <v>0</v>
      </c>
      <c r="U399">
        <v>85.564284035352813</v>
      </c>
      <c r="V399">
        <v>-2.01798295455546E-3</v>
      </c>
    </row>
    <row r="400" spans="1:22" x14ac:dyDescent="0.3">
      <c r="A400">
        <v>84.387961616100995</v>
      </c>
      <c r="B400">
        <v>-1.1196389171419402E-2</v>
      </c>
      <c r="C400">
        <v>84.387961616100995</v>
      </c>
      <c r="D400">
        <v>-1.04481694149268E-2</v>
      </c>
      <c r="G400" s="50">
        <v>84.387961616100995</v>
      </c>
      <c r="H400">
        <v>-1.2776285596638499E-2</v>
      </c>
      <c r="I400" s="50">
        <v>84.387961616100995</v>
      </c>
      <c r="J400">
        <v>-7.8257457032810101E-3</v>
      </c>
      <c r="L400">
        <v>84.387961616100995</v>
      </c>
      <c r="M400">
        <f t="shared" si="24"/>
        <v>0.99879783322493165</v>
      </c>
      <c r="N400">
        <f t="shared" si="25"/>
        <v>0.99909943348375185</v>
      </c>
      <c r="O400">
        <f t="shared" si="26"/>
        <v>0.99969812788526102</v>
      </c>
      <c r="P400">
        <f t="shared" si="27"/>
        <v>-2.6224237116457896E-3</v>
      </c>
      <c r="S400">
        <v>84.387961616100995</v>
      </c>
      <c r="T400">
        <v>0</v>
      </c>
      <c r="U400">
        <v>84.387961616100995</v>
      </c>
      <c r="V400">
        <v>-2.4430624819729001E-3</v>
      </c>
    </row>
    <row r="401" spans="1:22" x14ac:dyDescent="0.3">
      <c r="A401">
        <v>83.227811066334596</v>
      </c>
      <c r="B401">
        <v>-1.1166736227626499E-2</v>
      </c>
      <c r="C401">
        <v>83.227811066334596</v>
      </c>
      <c r="D401">
        <v>-1.04028801276925E-2</v>
      </c>
      <c r="G401" s="50">
        <v>83.227811066334596</v>
      </c>
      <c r="H401">
        <v>-1.2836557106939896E-2</v>
      </c>
      <c r="I401" s="50">
        <v>83.227811066334596</v>
      </c>
      <c r="J401">
        <v>-7.9090516627595905E-3</v>
      </c>
      <c r="L401">
        <v>83.227811066334596</v>
      </c>
      <c r="M401">
        <f t="shared" si="24"/>
        <v>0.99880304109214768</v>
      </c>
      <c r="N401">
        <f t="shared" si="25"/>
        <v>0.99908985121397198</v>
      </c>
      <c r="O401">
        <f t="shared" si="26"/>
        <v>0.99971292860048988</v>
      </c>
      <c r="P401">
        <f t="shared" si="27"/>
        <v>-2.4938284649329099E-3</v>
      </c>
      <c r="S401">
        <v>83.227811066334596</v>
      </c>
      <c r="T401">
        <v>0</v>
      </c>
      <c r="U401">
        <v>83.227811066334596</v>
      </c>
      <c r="V401">
        <v>-2.0251327849223305E-3</v>
      </c>
    </row>
    <row r="402" spans="1:22" x14ac:dyDescent="0.3">
      <c r="A402">
        <v>82.083610058094592</v>
      </c>
      <c r="B402">
        <v>-1.1217942178801401E-2</v>
      </c>
      <c r="C402">
        <v>82.083610058094592</v>
      </c>
      <c r="D402">
        <v>-1.0448874223675799E-2</v>
      </c>
      <c r="G402" s="50">
        <v>82.083610058094592</v>
      </c>
      <c r="H402">
        <v>-1.2809471521481599E-2</v>
      </c>
      <c r="I402" s="50">
        <v>82.083610058094592</v>
      </c>
      <c r="J402">
        <v>-7.8734169856436095E-3</v>
      </c>
      <c r="L402">
        <v>82.083610058094592</v>
      </c>
      <c r="M402">
        <f t="shared" si="24"/>
        <v>0.99879775217837785</v>
      </c>
      <c r="N402">
        <f t="shared" si="25"/>
        <v>0.99909395008222535</v>
      </c>
      <c r="O402">
        <f t="shared" si="26"/>
        <v>0.99970353348268892</v>
      </c>
      <c r="P402">
        <f t="shared" si="27"/>
        <v>-2.5754572380321892E-3</v>
      </c>
      <c r="S402">
        <v>82.083610058094592</v>
      </c>
      <c r="T402">
        <v>0</v>
      </c>
      <c r="U402">
        <v>82.083610058094592</v>
      </c>
      <c r="V402">
        <v>-1.8413671016332999E-3</v>
      </c>
    </row>
    <row r="403" spans="1:22" x14ac:dyDescent="0.3">
      <c r="A403">
        <v>80.955139319946895</v>
      </c>
      <c r="B403">
        <v>-1.12255995511796E-2</v>
      </c>
      <c r="C403">
        <v>80.955139319946895</v>
      </c>
      <c r="D403">
        <v>-1.0470941693009798E-2</v>
      </c>
      <c r="G403" s="50">
        <v>80.955139319946895</v>
      </c>
      <c r="H403">
        <v>-1.2870720285638002E-2</v>
      </c>
      <c r="I403" s="50">
        <v>80.955139319946895</v>
      </c>
      <c r="J403">
        <v>-7.95201845943274E-3</v>
      </c>
      <c r="L403">
        <v>80.955139319946895</v>
      </c>
      <c r="M403">
        <f t="shared" si="24"/>
        <v>0.99879521462474918</v>
      </c>
      <c r="N403">
        <f t="shared" si="25"/>
        <v>0.99908490899318547</v>
      </c>
      <c r="O403">
        <f t="shared" si="26"/>
        <v>0.99971004029204258</v>
      </c>
      <c r="P403">
        <f t="shared" si="27"/>
        <v>-2.518923233577058E-3</v>
      </c>
      <c r="S403">
        <v>80.955139319946895</v>
      </c>
      <c r="T403">
        <v>0</v>
      </c>
      <c r="U403">
        <v>80.955139319946895</v>
      </c>
      <c r="V403">
        <v>-2.0318171962116997E-3</v>
      </c>
    </row>
    <row r="404" spans="1:22" x14ac:dyDescent="0.3">
      <c r="A404">
        <v>79.842182594961514</v>
      </c>
      <c r="B404">
        <v>-1.1223107268433598E-2</v>
      </c>
      <c r="C404">
        <v>79.842182594961514</v>
      </c>
      <c r="D404">
        <v>-1.04458589475826E-2</v>
      </c>
      <c r="G404" s="50">
        <v>79.842182594961514</v>
      </c>
      <c r="H404">
        <v>-1.2800686910934602E-2</v>
      </c>
      <c r="I404" s="50">
        <v>79.842182594961514</v>
      </c>
      <c r="J404">
        <v>-7.8762928496899105E-3</v>
      </c>
      <c r="L404">
        <v>79.842182594961514</v>
      </c>
      <c r="M404">
        <f t="shared" si="24"/>
        <v>0.9987980989075711</v>
      </c>
      <c r="N404">
        <f t="shared" si="25"/>
        <v>0.99909361928618556</v>
      </c>
      <c r="O404">
        <f t="shared" si="26"/>
        <v>0.99970421152441591</v>
      </c>
      <c r="P404">
        <f t="shared" si="27"/>
        <v>-2.5695660978926893E-3</v>
      </c>
      <c r="S404">
        <v>79.842182594961514</v>
      </c>
      <c r="T404">
        <v>0</v>
      </c>
      <c r="U404">
        <v>79.842182594961514</v>
      </c>
      <c r="V404">
        <v>-2.3266728150019805E-3</v>
      </c>
    </row>
    <row r="405" spans="1:22" x14ac:dyDescent="0.3">
      <c r="A405">
        <v>78.744526599270088</v>
      </c>
      <c r="B405">
        <v>-1.1247378272098598E-2</v>
      </c>
      <c r="C405">
        <v>78.744526599270088</v>
      </c>
      <c r="D405">
        <v>-1.04543643121831E-2</v>
      </c>
      <c r="G405" s="50">
        <v>78.744526599270088</v>
      </c>
      <c r="H405">
        <v>-1.2927596598412696E-2</v>
      </c>
      <c r="I405" s="50">
        <v>78.744526599270088</v>
      </c>
      <c r="J405">
        <v>-7.9875815877179322E-3</v>
      </c>
      <c r="L405">
        <v>78.744526599270088</v>
      </c>
      <c r="M405">
        <f t="shared" si="24"/>
        <v>0.998797120868684</v>
      </c>
      <c r="N405">
        <f t="shared" si="25"/>
        <v>0.99908081839181595</v>
      </c>
      <c r="O405">
        <f t="shared" si="26"/>
        <v>0.99971604146740745</v>
      </c>
      <c r="P405">
        <f t="shared" si="27"/>
        <v>-2.4667827244651674E-3</v>
      </c>
      <c r="S405">
        <v>78.744526599270088</v>
      </c>
      <c r="T405">
        <v>0</v>
      </c>
      <c r="U405">
        <v>78.744526599270088</v>
      </c>
      <c r="V405">
        <v>-1.84597979597356E-3</v>
      </c>
    </row>
    <row r="406" spans="1:22" x14ac:dyDescent="0.3">
      <c r="A406">
        <v>77.661960981192607</v>
      </c>
      <c r="B406">
        <v>-1.1330566421963199E-2</v>
      </c>
      <c r="C406">
        <v>77.661960981192607</v>
      </c>
      <c r="D406">
        <v>-1.05679405132007E-2</v>
      </c>
      <c r="G406" s="50">
        <v>77.661960981192607</v>
      </c>
      <c r="H406">
        <v>-1.2849703065665099E-2</v>
      </c>
      <c r="I406" s="50">
        <v>77.661960981192607</v>
      </c>
      <c r="J406">
        <v>-7.9161619089480693E-3</v>
      </c>
      <c r="L406">
        <v>77.661960981192607</v>
      </c>
      <c r="M406">
        <f t="shared" si="24"/>
        <v>0.99878406073948134</v>
      </c>
      <c r="N406">
        <f t="shared" si="25"/>
        <v>0.99908903336200827</v>
      </c>
      <c r="O406">
        <f t="shared" si="26"/>
        <v>0.99969474930427304</v>
      </c>
      <c r="P406">
        <f t="shared" si="27"/>
        <v>-2.651778604252631E-3</v>
      </c>
      <c r="S406">
        <v>77.661960981192607</v>
      </c>
      <c r="T406">
        <v>0</v>
      </c>
      <c r="U406">
        <v>77.661960981192607</v>
      </c>
      <c r="V406">
        <v>-1.9908188648400894E-3</v>
      </c>
    </row>
    <row r="407" spans="1:22" x14ac:dyDescent="0.3">
      <c r="A407">
        <v>76.594278280926005</v>
      </c>
      <c r="B407">
        <v>-1.1281655439424901E-2</v>
      </c>
      <c r="C407">
        <v>76.594278280926005</v>
      </c>
      <c r="D407">
        <v>-1.0500043349528296E-2</v>
      </c>
      <c r="G407" s="50">
        <v>76.594278280926005</v>
      </c>
      <c r="H407">
        <v>-1.2905643283673697E-2</v>
      </c>
      <c r="I407" s="50">
        <v>76.594278280926005</v>
      </c>
      <c r="J407">
        <v>-7.9538627348789692E-3</v>
      </c>
      <c r="L407">
        <v>76.594278280926005</v>
      </c>
      <c r="M407">
        <f t="shared" si="24"/>
        <v>0.99879186821490673</v>
      </c>
      <c r="N407">
        <f t="shared" si="25"/>
        <v>0.99908469685745183</v>
      </c>
      <c r="O407">
        <f t="shared" si="26"/>
        <v>0.99970690308492749</v>
      </c>
      <c r="P407">
        <f t="shared" si="27"/>
        <v>-2.5461806146493265E-3</v>
      </c>
      <c r="S407">
        <v>76.594278280926005</v>
      </c>
      <c r="T407">
        <v>0</v>
      </c>
      <c r="U407">
        <v>76.594278280926005</v>
      </c>
      <c r="V407">
        <v>-2.0789621131029894E-3</v>
      </c>
    </row>
    <row r="408" spans="1:22" x14ac:dyDescent="0.3">
      <c r="A408">
        <v>75.541273890787821</v>
      </c>
      <c r="B408">
        <v>-1.06458933702255E-2</v>
      </c>
      <c r="C408">
        <v>75.541273890787821</v>
      </c>
      <c r="D408">
        <v>-9.8713029830206824E-3</v>
      </c>
      <c r="G408" s="50">
        <v>75.541273890787821</v>
      </c>
      <c r="H408">
        <v>-1.2289218900549702E-2</v>
      </c>
      <c r="I408" s="50">
        <v>75.541273890787821</v>
      </c>
      <c r="J408">
        <v>-7.3434125821069179E-3</v>
      </c>
      <c r="L408">
        <v>75.541273890787821</v>
      </c>
      <c r="M408">
        <f t="shared" si="24"/>
        <v>0.99886416978914261</v>
      </c>
      <c r="N408">
        <f t="shared" si="25"/>
        <v>0.99915491566790582</v>
      </c>
      <c r="O408">
        <f t="shared" si="26"/>
        <v>0.99970900820863318</v>
      </c>
      <c r="P408">
        <f t="shared" si="27"/>
        <v>-2.5278904009137645E-3</v>
      </c>
      <c r="S408">
        <v>75.541273890787821</v>
      </c>
      <c r="T408">
        <v>0</v>
      </c>
      <c r="U408">
        <v>75.541273890787821</v>
      </c>
      <c r="V408">
        <v>-1.8537118598942503E-3</v>
      </c>
    </row>
    <row r="409" spans="1:22" x14ac:dyDescent="0.3">
      <c r="A409">
        <v>74.502746016004593</v>
      </c>
      <c r="B409">
        <v>-1.06465652024675E-2</v>
      </c>
      <c r="C409">
        <v>74.502746016004593</v>
      </c>
      <c r="D409">
        <v>-9.8774928064585092E-3</v>
      </c>
      <c r="G409" s="50">
        <v>74.502746016004593</v>
      </c>
      <c r="H409">
        <v>-1.2290716865953601E-2</v>
      </c>
      <c r="I409" s="50">
        <v>74.502746016004593</v>
      </c>
      <c r="J409">
        <v>-7.3508331690528995E-3</v>
      </c>
      <c r="L409">
        <v>74.502746016004593</v>
      </c>
      <c r="M409">
        <f t="shared" si="24"/>
        <v>0.99886345796906384</v>
      </c>
      <c r="N409">
        <f t="shared" si="25"/>
        <v>0.99915406206360446</v>
      </c>
      <c r="O409">
        <f t="shared" si="26"/>
        <v>0.99970914986429582</v>
      </c>
      <c r="P409">
        <f t="shared" si="27"/>
        <v>-2.5266596374056097E-3</v>
      </c>
      <c r="S409">
        <v>74.502746016004593</v>
      </c>
      <c r="T409">
        <v>0</v>
      </c>
      <c r="U409">
        <v>74.502746016004593</v>
      </c>
      <c r="V409">
        <v>-1.7172427351965802E-3</v>
      </c>
    </row>
    <row r="410" spans="1:22" x14ac:dyDescent="0.3">
      <c r="A410">
        <v>73.478495636041885</v>
      </c>
      <c r="B410">
        <v>-1.0612377269811299E-2</v>
      </c>
      <c r="C410">
        <v>73.478495636041885</v>
      </c>
      <c r="D410">
        <v>-9.8360589822365715E-3</v>
      </c>
      <c r="G410" s="50">
        <v>73.478495636041885</v>
      </c>
      <c r="H410">
        <v>-1.22760204569098E-2</v>
      </c>
      <c r="I410" s="50">
        <v>73.478495636041885</v>
      </c>
      <c r="J410">
        <v>-7.3275368896394688E-3</v>
      </c>
      <c r="L410">
        <v>73.478495636041885</v>
      </c>
      <c r="M410">
        <f t="shared" si="24"/>
        <v>0.99886822280414422</v>
      </c>
      <c r="N410">
        <f t="shared" si="25"/>
        <v>0.99915674188160697</v>
      </c>
      <c r="O410">
        <f t="shared" si="26"/>
        <v>0.99971123742114831</v>
      </c>
      <c r="P410">
        <f t="shared" si="27"/>
        <v>-2.5085220925971027E-3</v>
      </c>
      <c r="S410">
        <v>73.478495636041885</v>
      </c>
      <c r="T410">
        <v>0</v>
      </c>
      <c r="U410">
        <v>73.478495636041885</v>
      </c>
      <c r="V410">
        <v>-1.96175519710096E-3</v>
      </c>
    </row>
    <row r="411" spans="1:22" x14ac:dyDescent="0.3">
      <c r="A411">
        <v>72.468326466463381</v>
      </c>
      <c r="B411">
        <v>-1.0659785243779698E-2</v>
      </c>
      <c r="C411">
        <v>72.468326466463381</v>
      </c>
      <c r="D411">
        <v>-9.8846697304428022E-3</v>
      </c>
      <c r="G411" s="50">
        <v>72.468326466463381</v>
      </c>
      <c r="H411">
        <v>-1.2270138593477399E-2</v>
      </c>
      <c r="I411" s="50">
        <v>72.468326466463381</v>
      </c>
      <c r="J411">
        <v>-7.3246528486003108E-3</v>
      </c>
      <c r="L411">
        <v>72.468326466463381</v>
      </c>
      <c r="M411">
        <f t="shared" si="24"/>
        <v>0.99886263263459085</v>
      </c>
      <c r="N411">
        <f t="shared" si="25"/>
        <v>0.99915707363916417</v>
      </c>
      <c r="O411">
        <f t="shared" si="26"/>
        <v>0.99970531059395806</v>
      </c>
      <c r="P411">
        <f t="shared" si="27"/>
        <v>-2.5600168818424914E-3</v>
      </c>
      <c r="S411">
        <v>72.468326466463381</v>
      </c>
      <c r="T411">
        <v>0</v>
      </c>
      <c r="U411">
        <v>72.468326466463381</v>
      </c>
      <c r="V411">
        <v>-1.8122893909548999E-3</v>
      </c>
    </row>
    <row r="412" spans="1:22" x14ac:dyDescent="0.3">
      <c r="A412">
        <v>71.472044921316098</v>
      </c>
      <c r="B412">
        <v>-1.06582144378197E-2</v>
      </c>
      <c r="C412">
        <v>71.472044921316098</v>
      </c>
      <c r="D412">
        <v>-9.8683791045451399E-3</v>
      </c>
      <c r="G412" s="50">
        <v>71.472044921316098</v>
      </c>
      <c r="H412">
        <v>-1.22718974831894E-2</v>
      </c>
      <c r="I412" s="50">
        <v>71.472044921316098</v>
      </c>
      <c r="J412">
        <v>-7.3454606128462094E-3</v>
      </c>
      <c r="L412">
        <v>71.472044921316098</v>
      </c>
      <c r="M412">
        <f t="shared" si="24"/>
        <v>0.99886450603080112</v>
      </c>
      <c r="N412">
        <f t="shared" si="25"/>
        <v>0.99915468007894204</v>
      </c>
      <c r="O412">
        <f t="shared" si="26"/>
        <v>0.9997095804544317</v>
      </c>
      <c r="P412">
        <f t="shared" si="27"/>
        <v>-2.5229184916989306E-3</v>
      </c>
      <c r="S412">
        <v>71.472044921316098</v>
      </c>
      <c r="T412">
        <v>0</v>
      </c>
      <c r="U412">
        <v>71.472044921316098</v>
      </c>
      <c r="V412">
        <v>-2.02227979963254E-3</v>
      </c>
    </row>
    <row r="413" spans="1:22" x14ac:dyDescent="0.3">
      <c r="A413">
        <v>70.489460076032103</v>
      </c>
      <c r="B413">
        <v>-1.06778475814285E-2</v>
      </c>
      <c r="C413">
        <v>70.489460076032103</v>
      </c>
      <c r="D413">
        <v>-9.8911714797684704E-3</v>
      </c>
      <c r="G413" s="50">
        <v>70.489460076032103</v>
      </c>
      <c r="H413">
        <v>-1.2281271430766698E-2</v>
      </c>
      <c r="I413" s="50">
        <v>70.489460076032103</v>
      </c>
      <c r="J413">
        <v>-7.3378316456080908E-3</v>
      </c>
      <c r="L413">
        <v>70.489460076032103</v>
      </c>
      <c r="M413">
        <f t="shared" si="24"/>
        <v>0.99886188494468353</v>
      </c>
      <c r="N413">
        <f t="shared" si="25"/>
        <v>0.99915555765418007</v>
      </c>
      <c r="O413">
        <f t="shared" si="26"/>
        <v>0.99970607909124176</v>
      </c>
      <c r="P413">
        <f t="shared" si="27"/>
        <v>-2.5533398341603796E-3</v>
      </c>
      <c r="S413">
        <v>70.489460076032103</v>
      </c>
      <c r="T413">
        <v>0</v>
      </c>
      <c r="U413">
        <v>70.489460076032103</v>
      </c>
      <c r="V413">
        <v>-1.9373725542095599E-3</v>
      </c>
    </row>
    <row r="414" spans="1:22" x14ac:dyDescent="0.3">
      <c r="A414">
        <v>69.520383630839916</v>
      </c>
      <c r="B414">
        <v>-1.06895002065748E-2</v>
      </c>
      <c r="C414">
        <v>69.520383630839916</v>
      </c>
      <c r="D414">
        <v>-9.9118082885772518E-3</v>
      </c>
      <c r="G414" s="50">
        <v>69.520383630839916</v>
      </c>
      <c r="H414">
        <v>-1.22713443255376E-2</v>
      </c>
      <c r="I414" s="50">
        <v>69.520383630839916</v>
      </c>
      <c r="J414">
        <v>-7.3264550439217412E-3</v>
      </c>
      <c r="L414">
        <v>69.520383630839916</v>
      </c>
      <c r="M414">
        <f t="shared" si="24"/>
        <v>0.99885951175113441</v>
      </c>
      <c r="N414">
        <f t="shared" si="25"/>
        <v>0.9991568663286764</v>
      </c>
      <c r="O414">
        <f t="shared" si="26"/>
        <v>0.99970239450124121</v>
      </c>
      <c r="P414">
        <f t="shared" si="27"/>
        <v>-2.5853532446555106E-3</v>
      </c>
      <c r="S414">
        <v>69.520383630839916</v>
      </c>
      <c r="T414">
        <v>0</v>
      </c>
      <c r="U414">
        <v>69.520383630839916</v>
      </c>
      <c r="V414">
        <v>-1.96807811022381E-3</v>
      </c>
    </row>
    <row r="415" spans="1:22" x14ac:dyDescent="0.3">
      <c r="A415">
        <v>68.564629874679795</v>
      </c>
      <c r="B415">
        <v>-1.06638161366376E-2</v>
      </c>
      <c r="C415">
        <v>68.564629874679795</v>
      </c>
      <c r="D415">
        <v>-9.8949387071807816E-3</v>
      </c>
      <c r="G415" s="50">
        <v>68.564629874679795</v>
      </c>
      <c r="H415">
        <v>-1.2296713722082998E-2</v>
      </c>
      <c r="I415" s="50">
        <v>68.564629874679795</v>
      </c>
      <c r="J415">
        <v>-7.3638056978751094E-3</v>
      </c>
      <c r="L415">
        <v>68.564629874679795</v>
      </c>
      <c r="M415">
        <f t="shared" si="24"/>
        <v>0.9988614517203146</v>
      </c>
      <c r="N415">
        <f t="shared" si="25"/>
        <v>0.99915256981056766</v>
      </c>
      <c r="O415">
        <f t="shared" si="26"/>
        <v>0.99970863499824836</v>
      </c>
      <c r="P415">
        <f t="shared" si="27"/>
        <v>-2.5311330093056722E-3</v>
      </c>
      <c r="S415">
        <v>68.564629874679795</v>
      </c>
      <c r="T415">
        <v>0</v>
      </c>
      <c r="U415">
        <v>68.564629874679795</v>
      </c>
      <c r="V415">
        <v>-1.57169563357229E-3</v>
      </c>
    </row>
    <row r="416" spans="1:22" x14ac:dyDescent="0.3">
      <c r="A416">
        <v>67.622015649613999</v>
      </c>
      <c r="B416">
        <v>-1.07145299094627E-2</v>
      </c>
      <c r="C416">
        <v>67.622015649613999</v>
      </c>
      <c r="D416">
        <v>-9.9152816264299875E-3</v>
      </c>
      <c r="G416" s="50">
        <v>67.622015649613999</v>
      </c>
      <c r="H416">
        <v>-1.2291498658711099E-2</v>
      </c>
      <c r="I416" s="50">
        <v>67.622015649613999</v>
      </c>
      <c r="J416">
        <v>-7.3724021167917786E-3</v>
      </c>
      <c r="L416">
        <v>67.622015649613999</v>
      </c>
      <c r="M416">
        <f t="shared" si="24"/>
        <v>0.99885911232447788</v>
      </c>
      <c r="N416">
        <f t="shared" si="25"/>
        <v>0.99915158095045553</v>
      </c>
      <c r="O416">
        <f t="shared" si="26"/>
        <v>0.99970728302736667</v>
      </c>
      <c r="P416">
        <f t="shared" si="27"/>
        <v>-2.5428795096382089E-3</v>
      </c>
      <c r="S416">
        <v>67.622015649613999</v>
      </c>
      <c r="T416">
        <v>0</v>
      </c>
      <c r="U416">
        <v>67.622015649613999</v>
      </c>
      <c r="V416">
        <v>-1.64145726932929E-3</v>
      </c>
    </row>
    <row r="417" spans="1:22" x14ac:dyDescent="0.3">
      <c r="A417">
        <v>66.692360315727598</v>
      </c>
      <c r="B417">
        <v>-1.06832674293611E-2</v>
      </c>
      <c r="C417">
        <v>66.692360315727598</v>
      </c>
      <c r="D417">
        <v>-9.9228948266583926E-3</v>
      </c>
      <c r="G417" s="50">
        <v>66.692360315727598</v>
      </c>
      <c r="H417">
        <v>-1.2282992768650702E-2</v>
      </c>
      <c r="I417" s="50">
        <v>66.692360315727598</v>
      </c>
      <c r="J417">
        <v>-7.3506536452722388E-3</v>
      </c>
      <c r="L417">
        <v>66.692360315727598</v>
      </c>
      <c r="M417">
        <f t="shared" si="24"/>
        <v>0.99885823682278396</v>
      </c>
      <c r="N417">
        <f t="shared" si="25"/>
        <v>0.99915408271455952</v>
      </c>
      <c r="O417">
        <f t="shared" si="26"/>
        <v>0.99970390363519124</v>
      </c>
      <c r="P417">
        <f t="shared" si="27"/>
        <v>-2.5722411813861538E-3</v>
      </c>
      <c r="S417">
        <v>66.692360315727598</v>
      </c>
      <c r="T417">
        <v>0</v>
      </c>
      <c r="U417">
        <v>66.692360315727598</v>
      </c>
      <c r="V417">
        <v>-1.6083473711319099E-3</v>
      </c>
    </row>
    <row r="418" spans="1:22" x14ac:dyDescent="0.3">
      <c r="A418">
        <v>65.775485716510602</v>
      </c>
      <c r="B418">
        <v>-1.06749882366732E-2</v>
      </c>
      <c r="C418">
        <v>65.775485716510602</v>
      </c>
      <c r="D418">
        <v>-9.8943766707422724E-3</v>
      </c>
      <c r="G418" s="50">
        <v>65.775485716510602</v>
      </c>
      <c r="H418">
        <v>-1.2301545036977099E-2</v>
      </c>
      <c r="I418" s="50">
        <v>65.775485716510602</v>
      </c>
      <c r="J418">
        <v>-7.3626028246510603E-3</v>
      </c>
      <c r="L418">
        <v>65.775485716510602</v>
      </c>
      <c r="M418">
        <f t="shared" si="24"/>
        <v>0.99886151635348119</v>
      </c>
      <c r="N418">
        <f t="shared" si="25"/>
        <v>0.99915270817911783</v>
      </c>
      <c r="O418">
        <f t="shared" si="26"/>
        <v>0.9997085612406863</v>
      </c>
      <c r="P418">
        <f t="shared" si="27"/>
        <v>-2.531773846091212E-3</v>
      </c>
      <c r="S418">
        <v>65.775485716510602</v>
      </c>
      <c r="T418">
        <v>0</v>
      </c>
      <c r="U418">
        <v>65.775485716510602</v>
      </c>
      <c r="V418">
        <v>-1.72077334212872E-3</v>
      </c>
    </row>
    <row r="419" spans="1:22" x14ac:dyDescent="0.3">
      <c r="A419">
        <v>64.871216144716499</v>
      </c>
      <c r="B419">
        <v>-1.0686641597394899E-2</v>
      </c>
      <c r="C419">
        <v>64.871216144716499</v>
      </c>
      <c r="D419">
        <v>-9.92271265291092E-3</v>
      </c>
      <c r="G419" s="50">
        <v>64.871216144716499</v>
      </c>
      <c r="H419">
        <v>-1.22997599837568E-2</v>
      </c>
      <c r="I419" s="50">
        <v>64.871216144716499</v>
      </c>
      <c r="J419">
        <v>-7.3617766621728586E-3</v>
      </c>
      <c r="L419">
        <v>64.871216144716499</v>
      </c>
      <c r="M419">
        <f t="shared" si="24"/>
        <v>0.99885825777236514</v>
      </c>
      <c r="N419">
        <f t="shared" si="25"/>
        <v>0.99915280321400213</v>
      </c>
      <c r="O419">
        <f t="shared" si="26"/>
        <v>0.99970520480882452</v>
      </c>
      <c r="P419">
        <f t="shared" si="27"/>
        <v>-2.5609359907380613E-3</v>
      </c>
      <c r="S419">
        <v>64.871216144716499</v>
      </c>
      <c r="T419">
        <v>0</v>
      </c>
      <c r="U419">
        <v>64.871216144716499</v>
      </c>
      <c r="V419">
        <v>-1.7696398167572601E-3</v>
      </c>
    </row>
    <row r="420" spans="1:22" x14ac:dyDescent="0.3">
      <c r="A420">
        <v>63.979378308690997</v>
      </c>
      <c r="B420">
        <v>-1.0712229634912897E-2</v>
      </c>
      <c r="C420">
        <v>63.979378308690997</v>
      </c>
      <c r="D420">
        <v>-9.9567240953994385E-3</v>
      </c>
      <c r="G420" s="50">
        <v>63.979378308690997</v>
      </c>
      <c r="H420">
        <v>-1.2291803636410701E-2</v>
      </c>
      <c r="I420" s="50">
        <v>63.979378308690997</v>
      </c>
      <c r="J420">
        <v>-7.3611365613563181E-3</v>
      </c>
      <c r="L420">
        <v>63.979378308690997</v>
      </c>
      <c r="M420">
        <f t="shared" si="24"/>
        <v>0.9988543465387334</v>
      </c>
      <c r="N420">
        <f t="shared" si="25"/>
        <v>0.99915287684590126</v>
      </c>
      <c r="O420">
        <f t="shared" si="26"/>
        <v>0.99970121658648448</v>
      </c>
      <c r="P420">
        <f t="shared" si="27"/>
        <v>-2.5955875340431204E-3</v>
      </c>
      <c r="S420">
        <v>63.979378308690997</v>
      </c>
      <c r="T420">
        <v>0</v>
      </c>
      <c r="U420">
        <v>63.979378308690997</v>
      </c>
      <c r="V420">
        <v>-1.8030592015634301E-3</v>
      </c>
    </row>
    <row r="421" spans="1:22" x14ac:dyDescent="0.3">
      <c r="A421">
        <v>63.099801299162003</v>
      </c>
      <c r="B421">
        <v>-1.0706585205019801E-2</v>
      </c>
      <c r="C421">
        <v>63.099801299162003</v>
      </c>
      <c r="D421">
        <v>-9.9596810954763262E-3</v>
      </c>
      <c r="G421" s="50">
        <v>63.099801299162003</v>
      </c>
      <c r="H421">
        <v>-1.2326280862025698E-2</v>
      </c>
      <c r="I421" s="50">
        <v>63.099801299162003</v>
      </c>
      <c r="J421">
        <v>-7.3836442279174999E-3</v>
      </c>
      <c r="L421">
        <v>63.099801299162003</v>
      </c>
      <c r="M421">
        <f t="shared" si="24"/>
        <v>0.99885400649159939</v>
      </c>
      <c r="N421">
        <f t="shared" si="25"/>
        <v>0.99915028775352299</v>
      </c>
      <c r="O421">
        <f t="shared" si="26"/>
        <v>0.99970346677015953</v>
      </c>
      <c r="P421">
        <f t="shared" si="27"/>
        <v>-2.5760368675588263E-3</v>
      </c>
      <c r="S421">
        <v>63.099801299162003</v>
      </c>
      <c r="T421">
        <v>0</v>
      </c>
      <c r="U421">
        <v>63.099801299162003</v>
      </c>
      <c r="V421">
        <v>-1.6428781499939803E-3</v>
      </c>
    </row>
    <row r="422" spans="1:22" x14ac:dyDescent="0.3">
      <c r="A422">
        <v>62.232316556487504</v>
      </c>
      <c r="B422">
        <v>-1.0741062788861902E-2</v>
      </c>
      <c r="C422">
        <v>62.232316556487504</v>
      </c>
      <c r="D422">
        <v>-9.9973811288431077E-3</v>
      </c>
      <c r="G422" s="50">
        <v>62.232316556487504</v>
      </c>
      <c r="H422">
        <v>-1.2334855483792899E-2</v>
      </c>
      <c r="I422" s="50">
        <v>62.232316556487504</v>
      </c>
      <c r="J422">
        <v>-7.3923168140076516E-3</v>
      </c>
      <c r="L422">
        <v>62.232316556487504</v>
      </c>
      <c r="M422">
        <f t="shared" si="24"/>
        <v>0.99884967109831002</v>
      </c>
      <c r="N422">
        <f t="shared" si="25"/>
        <v>0.9991492901340594</v>
      </c>
      <c r="O422">
        <f t="shared" si="26"/>
        <v>0.99970012585835977</v>
      </c>
      <c r="P422">
        <f t="shared" si="27"/>
        <v>-2.6050643148354561E-3</v>
      </c>
      <c r="S422">
        <v>62.232316556487504</v>
      </c>
      <c r="T422">
        <v>0</v>
      </c>
      <c r="U422">
        <v>62.232316556487504</v>
      </c>
      <c r="V422">
        <v>-1.6069252434363101E-3</v>
      </c>
    </row>
    <row r="423" spans="1:22" x14ac:dyDescent="0.3">
      <c r="A423">
        <v>61.3767578383531</v>
      </c>
      <c r="B423">
        <v>-1.07223409545872E-2</v>
      </c>
      <c r="C423">
        <v>61.3767578383531</v>
      </c>
      <c r="D423">
        <v>-9.9921302411439886E-3</v>
      </c>
      <c r="G423" s="50">
        <v>61.3767578383531</v>
      </c>
      <c r="H423">
        <v>-1.2317979645435103E-2</v>
      </c>
      <c r="I423" s="50">
        <v>61.3767578383531</v>
      </c>
      <c r="J423">
        <v>-7.3780511021788011E-3</v>
      </c>
      <c r="L423">
        <v>61.3767578383531</v>
      </c>
      <c r="M423">
        <f t="shared" si="24"/>
        <v>0.99885027493387035</v>
      </c>
      <c r="N423">
        <f t="shared" si="25"/>
        <v>0.99915093113897047</v>
      </c>
      <c r="O423">
        <f t="shared" si="26"/>
        <v>0.99969908830014564</v>
      </c>
      <c r="P423">
        <f t="shared" si="27"/>
        <v>-2.6140791389651875E-3</v>
      </c>
      <c r="S423">
        <v>61.3767578383531</v>
      </c>
      <c r="T423">
        <v>0</v>
      </c>
      <c r="U423">
        <v>61.3767578383531</v>
      </c>
      <c r="V423">
        <v>-1.3653001589091201E-3</v>
      </c>
    </row>
    <row r="424" spans="1:22" x14ac:dyDescent="0.3">
      <c r="A424">
        <v>60.532961187914097</v>
      </c>
      <c r="B424">
        <v>-1.0732297855837E-2</v>
      </c>
      <c r="C424">
        <v>60.532961187914097</v>
      </c>
      <c r="D424">
        <v>-9.9880278954976882E-3</v>
      </c>
      <c r="G424" s="50">
        <v>60.532961187914097</v>
      </c>
      <c r="H424">
        <v>-1.2331510308480099E-2</v>
      </c>
      <c r="I424" s="50">
        <v>60.532961187914097</v>
      </c>
      <c r="J424">
        <v>-7.3735697855503001E-3</v>
      </c>
      <c r="L424">
        <v>60.532961187914097</v>
      </c>
      <c r="M424">
        <f t="shared" si="24"/>
        <v>0.99885074669096308</v>
      </c>
      <c r="N424">
        <f t="shared" si="25"/>
        <v>0.99915144663168609</v>
      </c>
      <c r="O424">
        <f t="shared" si="26"/>
        <v>0.99969904468262871</v>
      </c>
      <c r="P424">
        <f t="shared" si="27"/>
        <v>-2.6144581099473881E-3</v>
      </c>
      <c r="S424">
        <v>60.532961187914097</v>
      </c>
      <c r="T424">
        <v>0</v>
      </c>
      <c r="U424">
        <v>60.532961187914097</v>
      </c>
      <c r="V424">
        <v>-1.5047682488216199E-3</v>
      </c>
    </row>
    <row r="425" spans="1:22" x14ac:dyDescent="0.3">
      <c r="A425">
        <v>59.7007649023749</v>
      </c>
      <c r="B425">
        <v>-1.07630682819694E-2</v>
      </c>
      <c r="C425">
        <v>59.7007649023749</v>
      </c>
      <c r="D425">
        <v>-1.0005969264231101E-2</v>
      </c>
      <c r="G425" s="50">
        <v>59.7007649023749</v>
      </c>
      <c r="H425">
        <v>-1.23419723104742E-2</v>
      </c>
      <c r="I425" s="50">
        <v>59.7007649023749</v>
      </c>
      <c r="J425">
        <v>-7.4027078700357411E-3</v>
      </c>
      <c r="L425">
        <v>59.7007649023749</v>
      </c>
      <c r="M425">
        <f t="shared" si="24"/>
        <v>0.99884868349055467</v>
      </c>
      <c r="N425">
        <f t="shared" si="25"/>
        <v>0.99914809483795552</v>
      </c>
      <c r="O425">
        <f t="shared" si="26"/>
        <v>0.99970033336504593</v>
      </c>
      <c r="P425">
        <f t="shared" si="27"/>
        <v>-2.6032613941953595E-3</v>
      </c>
      <c r="S425">
        <v>59.7007649023749</v>
      </c>
      <c r="T425">
        <v>0</v>
      </c>
      <c r="U425">
        <v>59.7007649023749</v>
      </c>
      <c r="V425">
        <v>-1.8799453935116599E-3</v>
      </c>
    </row>
    <row r="426" spans="1:22" x14ac:dyDescent="0.3">
      <c r="A426">
        <v>58.880009502001002</v>
      </c>
      <c r="B426">
        <v>-1.0795791594261401E-2</v>
      </c>
      <c r="C426">
        <v>58.880009502001002</v>
      </c>
      <c r="D426">
        <v>-1.0032123291562499E-2</v>
      </c>
      <c r="G426" s="50">
        <v>58.880009502001002</v>
      </c>
      <c r="H426">
        <v>-1.2399235920678799E-2</v>
      </c>
      <c r="I426" s="50">
        <v>58.880009502001002</v>
      </c>
      <c r="J426">
        <v>-7.4731176877169412E-3</v>
      </c>
      <c r="L426">
        <v>58.880009502001002</v>
      </c>
      <c r="M426">
        <f t="shared" si="24"/>
        <v>0.99884567586813211</v>
      </c>
      <c r="N426">
        <f t="shared" si="25"/>
        <v>0.99913999554669231</v>
      </c>
      <c r="O426">
        <f t="shared" si="26"/>
        <v>0.99970542698733711</v>
      </c>
      <c r="P426">
        <f t="shared" si="27"/>
        <v>-2.5590056038455574E-3</v>
      </c>
      <c r="S426">
        <v>58.880009502001002</v>
      </c>
      <c r="T426">
        <v>0</v>
      </c>
      <c r="U426">
        <v>58.880009502001002</v>
      </c>
      <c r="V426">
        <v>-1.3045787467262902E-3</v>
      </c>
    </row>
    <row r="427" spans="1:22" x14ac:dyDescent="0.3">
      <c r="A427">
        <v>58.070537699556496</v>
      </c>
      <c r="B427">
        <v>-1.07936183614833E-2</v>
      </c>
      <c r="C427">
        <v>58.070537699556496</v>
      </c>
      <c r="D427">
        <v>-1.00328217654074E-2</v>
      </c>
      <c r="G427" s="50">
        <v>58.070537699556496</v>
      </c>
      <c r="H427">
        <v>-1.2390431166398199E-2</v>
      </c>
      <c r="I427" s="50">
        <v>58.070537699556496</v>
      </c>
      <c r="J427">
        <v>-7.4507125446153163E-3</v>
      </c>
      <c r="L427">
        <v>58.070537699556496</v>
      </c>
      <c r="M427">
        <f t="shared" si="24"/>
        <v>0.99884559554618679</v>
      </c>
      <c r="N427">
        <f t="shared" si="25"/>
        <v>0.99914257281907126</v>
      </c>
      <c r="O427">
        <f t="shared" si="26"/>
        <v>0.99970276787221013</v>
      </c>
      <c r="P427">
        <f t="shared" si="27"/>
        <v>-2.5821092207920834E-3</v>
      </c>
      <c r="S427">
        <v>58.070537699556496</v>
      </c>
      <c r="T427">
        <v>0</v>
      </c>
      <c r="U427">
        <v>58.070537699556496</v>
      </c>
      <c r="V427">
        <v>-1.3013970747692803E-3</v>
      </c>
    </row>
    <row r="428" spans="1:22" x14ac:dyDescent="0.3">
      <c r="A428">
        <v>57.272194370162602</v>
      </c>
      <c r="B428">
        <v>-1.0749810047311101E-2</v>
      </c>
      <c r="C428">
        <v>57.272194370162602</v>
      </c>
      <c r="D428">
        <v>-9.99845067714915E-3</v>
      </c>
      <c r="G428" s="50">
        <v>57.272194370162602</v>
      </c>
      <c r="H428">
        <v>-1.2350245820266099E-2</v>
      </c>
      <c r="I428" s="50">
        <v>57.272194370162602</v>
      </c>
      <c r="J428">
        <v>-7.3935627670627009E-3</v>
      </c>
      <c r="L428">
        <v>57.272194370162602</v>
      </c>
      <c r="M428">
        <f t="shared" si="24"/>
        <v>0.99884954810366555</v>
      </c>
      <c r="N428">
        <f t="shared" si="25"/>
        <v>0.99914914681045397</v>
      </c>
      <c r="O428">
        <f t="shared" si="26"/>
        <v>0.99970014616161684</v>
      </c>
      <c r="P428">
        <f t="shared" si="27"/>
        <v>-2.6048879100864491E-3</v>
      </c>
      <c r="S428">
        <v>57.272194370162602</v>
      </c>
      <c r="T428">
        <v>0</v>
      </c>
      <c r="U428">
        <v>57.272194370162602</v>
      </c>
      <c r="V428">
        <v>-1.67351879622402E-3</v>
      </c>
    </row>
    <row r="429" spans="1:22" x14ac:dyDescent="0.3">
      <c r="A429">
        <v>56.484826521568898</v>
      </c>
      <c r="B429">
        <v>-1.0766854825819296E-2</v>
      </c>
      <c r="C429">
        <v>56.484826521568898</v>
      </c>
      <c r="D429">
        <v>-9.9819718870923207E-3</v>
      </c>
      <c r="G429" s="50">
        <v>56.484826521568898</v>
      </c>
      <c r="H429">
        <v>-1.2395015270619401E-2</v>
      </c>
      <c r="I429" s="50">
        <v>56.484826521568898</v>
      </c>
      <c r="J429">
        <v>-7.4410622334076491E-3</v>
      </c>
      <c r="L429">
        <v>56.484826521568898</v>
      </c>
      <c r="M429">
        <f t="shared" si="24"/>
        <v>0.99885144311365315</v>
      </c>
      <c r="N429">
        <f t="shared" si="25"/>
        <v>0.9991436829001944</v>
      </c>
      <c r="O429">
        <f t="shared" si="26"/>
        <v>0.99970750974905531</v>
      </c>
      <c r="P429">
        <f t="shared" si="27"/>
        <v>-2.5409096536846715E-3</v>
      </c>
      <c r="S429">
        <v>56.484826521568898</v>
      </c>
      <c r="T429">
        <v>0</v>
      </c>
      <c r="U429">
        <v>56.484826521568898</v>
      </c>
      <c r="V429">
        <v>-1.3417504924291299E-3</v>
      </c>
    </row>
    <row r="430" spans="1:22" x14ac:dyDescent="0.3">
      <c r="A430">
        <v>55.7082832648356</v>
      </c>
      <c r="B430">
        <v>-1.07996328756638E-2</v>
      </c>
      <c r="C430">
        <v>55.7082832648356</v>
      </c>
      <c r="D430">
        <v>-1.0028930780991501E-2</v>
      </c>
      <c r="G430" s="50">
        <v>55.7082832648356</v>
      </c>
      <c r="H430">
        <v>-1.24413116019126E-2</v>
      </c>
      <c r="I430" s="50">
        <v>55.7082832648356</v>
      </c>
      <c r="J430">
        <v>-7.4802550728079184E-3</v>
      </c>
      <c r="L430">
        <v>55.7082832648356</v>
      </c>
      <c r="M430">
        <f t="shared" si="24"/>
        <v>0.99884604299528856</v>
      </c>
      <c r="N430">
        <f t="shared" si="25"/>
        <v>0.99913917453188839</v>
      </c>
      <c r="O430">
        <f t="shared" si="26"/>
        <v>0.99970661591090437</v>
      </c>
      <c r="P430">
        <f t="shared" si="27"/>
        <v>-2.5486757081835823E-3</v>
      </c>
      <c r="S430">
        <v>55.7082832648356</v>
      </c>
      <c r="T430">
        <v>0</v>
      </c>
      <c r="U430">
        <v>55.7082832648356</v>
      </c>
      <c r="V430">
        <v>-1.7441529662960396E-3</v>
      </c>
    </row>
    <row r="431" spans="1:22" x14ac:dyDescent="0.3">
      <c r="A431">
        <v>54.9424157854165</v>
      </c>
      <c r="B431">
        <v>-1.08209555767982E-2</v>
      </c>
      <c r="C431">
        <v>54.9424157854165</v>
      </c>
      <c r="D431">
        <v>-1.00567019149033E-2</v>
      </c>
      <c r="G431" s="50">
        <v>54.9424157854165</v>
      </c>
      <c r="H431">
        <v>-1.24535963525974E-2</v>
      </c>
      <c r="I431" s="50">
        <v>54.9424157854165</v>
      </c>
      <c r="J431">
        <v>-7.4887009849828878E-3</v>
      </c>
      <c r="L431">
        <v>54.9424157854165</v>
      </c>
      <c r="M431">
        <f t="shared" si="24"/>
        <v>0.99884284941995793</v>
      </c>
      <c r="N431">
        <f t="shared" si="25"/>
        <v>0.99913820299782941</v>
      </c>
      <c r="O431">
        <f t="shared" si="26"/>
        <v>0.99970439166775393</v>
      </c>
      <c r="P431">
        <f t="shared" si="27"/>
        <v>-2.5680009299204123E-3</v>
      </c>
      <c r="S431">
        <v>54.9424157854165</v>
      </c>
      <c r="T431">
        <v>0</v>
      </c>
      <c r="U431">
        <v>54.9424157854165</v>
      </c>
      <c r="V431">
        <v>-1.36454697138788E-3</v>
      </c>
    </row>
    <row r="432" spans="1:22" x14ac:dyDescent="0.3">
      <c r="A432">
        <v>54.187077314641201</v>
      </c>
      <c r="B432">
        <v>-1.0860732240537798E-2</v>
      </c>
      <c r="C432">
        <v>54.187077314641201</v>
      </c>
      <c r="D432">
        <v>-1.0095663586178798E-2</v>
      </c>
      <c r="G432" s="50">
        <v>54.187077314641201</v>
      </c>
      <c r="H432">
        <v>-1.2422481598056499E-2</v>
      </c>
      <c r="I432" s="50">
        <v>54.187077314641201</v>
      </c>
      <c r="J432">
        <v>-7.4530574710251788E-3</v>
      </c>
      <c r="L432">
        <v>54.187077314641201</v>
      </c>
      <c r="M432">
        <f t="shared" si="24"/>
        <v>0.99883836899238021</v>
      </c>
      <c r="N432">
        <f t="shared" si="25"/>
        <v>0.99914230308095719</v>
      </c>
      <c r="O432">
        <f t="shared" si="26"/>
        <v>0.99969580500431243</v>
      </c>
      <c r="P432">
        <f t="shared" si="27"/>
        <v>-2.6426061151536189E-3</v>
      </c>
      <c r="S432">
        <v>54.187077314641201</v>
      </c>
      <c r="T432">
        <v>0</v>
      </c>
      <c r="U432">
        <v>54.187077314641201</v>
      </c>
      <c r="V432">
        <v>-1.0957054888081101E-3</v>
      </c>
    </row>
    <row r="433" spans="1:22" x14ac:dyDescent="0.3">
      <c r="A433">
        <v>53.442123101588898</v>
      </c>
      <c r="B433">
        <v>-1.0852002782019102E-2</v>
      </c>
      <c r="C433">
        <v>53.442123101588898</v>
      </c>
      <c r="D433">
        <v>-1.0102491103560597E-2</v>
      </c>
      <c r="G433" s="50">
        <v>53.442123101588898</v>
      </c>
      <c r="H433">
        <v>-1.2477021780515699E-2</v>
      </c>
      <c r="I433" s="50">
        <v>53.442123101588898</v>
      </c>
      <c r="J433">
        <v>-7.5197814534641591E-3</v>
      </c>
      <c r="L433">
        <v>53.442123101588898</v>
      </c>
      <c r="M433">
        <f t="shared" si="24"/>
        <v>0.99883758385879795</v>
      </c>
      <c r="N433">
        <f t="shared" si="25"/>
        <v>0.99913462781679885</v>
      </c>
      <c r="O433">
        <f t="shared" si="26"/>
        <v>0.99970269876578099</v>
      </c>
      <c r="P433">
        <f t="shared" si="27"/>
        <v>-2.5827096500964384E-3</v>
      </c>
      <c r="S433">
        <v>53.442123101588898</v>
      </c>
      <c r="T433">
        <v>0</v>
      </c>
      <c r="U433">
        <v>53.442123101588898</v>
      </c>
      <c r="V433">
        <v>-1.24847399740702E-3</v>
      </c>
    </row>
    <row r="434" spans="1:22" x14ac:dyDescent="0.3">
      <c r="A434">
        <v>52.707410385348098</v>
      </c>
      <c r="B434">
        <v>-1.07883045099459E-2</v>
      </c>
      <c r="C434">
        <v>52.707410385348098</v>
      </c>
      <c r="D434">
        <v>-1.0040828522704499E-2</v>
      </c>
      <c r="G434" s="50">
        <v>52.707410385348098</v>
      </c>
      <c r="H434">
        <v>-1.2494332838241799E-2</v>
      </c>
      <c r="I434" s="50">
        <v>52.707410385348098</v>
      </c>
      <c r="J434">
        <v>-7.5339768015840998E-3</v>
      </c>
      <c r="L434">
        <v>52.707410385348098</v>
      </c>
      <c r="M434">
        <f t="shared" si="24"/>
        <v>0.99884467479875527</v>
      </c>
      <c r="N434">
        <f t="shared" si="25"/>
        <v>0.99913299493256236</v>
      </c>
      <c r="O434">
        <f t="shared" si="26"/>
        <v>0.99971142967425819</v>
      </c>
      <c r="P434">
        <f t="shared" si="27"/>
        <v>-2.5068517211203995E-3</v>
      </c>
      <c r="S434">
        <v>52.707410385348098</v>
      </c>
      <c r="T434">
        <v>0</v>
      </c>
      <c r="U434">
        <v>52.707410385348098</v>
      </c>
      <c r="V434">
        <v>-1.3235981672892196E-3</v>
      </c>
    </row>
    <row r="435" spans="1:22" x14ac:dyDescent="0.3">
      <c r="A435">
        <v>51.982798367658894</v>
      </c>
      <c r="B435">
        <v>-1.0885035410707802E-2</v>
      </c>
      <c r="C435">
        <v>51.982798367658894</v>
      </c>
      <c r="D435">
        <v>-1.01372422197347E-2</v>
      </c>
      <c r="G435" s="50">
        <v>51.982798367658894</v>
      </c>
      <c r="H435">
        <v>-1.2471065673575201E-2</v>
      </c>
      <c r="I435" s="50">
        <v>51.982798367658894</v>
      </c>
      <c r="J435">
        <v>-7.5210113267321329E-3</v>
      </c>
      <c r="L435">
        <v>51.982798367658894</v>
      </c>
      <c r="M435">
        <f t="shared" si="24"/>
        <v>0.99883358764736474</v>
      </c>
      <c r="N435">
        <f t="shared" si="25"/>
        <v>0.99913448634494817</v>
      </c>
      <c r="O435">
        <f t="shared" si="26"/>
        <v>0.99969884064488235</v>
      </c>
      <c r="P435">
        <f t="shared" si="27"/>
        <v>-2.6162308930025675E-3</v>
      </c>
      <c r="S435">
        <v>51.982798367658894</v>
      </c>
      <c r="T435">
        <v>0</v>
      </c>
      <c r="U435">
        <v>51.982798367658894</v>
      </c>
      <c r="V435">
        <v>-1.4523994897785997E-3</v>
      </c>
    </row>
    <row r="436" spans="1:22" x14ac:dyDescent="0.3">
      <c r="A436">
        <v>51.268148185930499</v>
      </c>
      <c r="B436">
        <v>-1.08666048293188E-2</v>
      </c>
      <c r="C436">
        <v>51.268148185930499</v>
      </c>
      <c r="D436">
        <v>-1.0127504215269E-2</v>
      </c>
      <c r="G436" s="50">
        <v>51.268148185930499</v>
      </c>
      <c r="H436">
        <v>-1.2511164732575998E-2</v>
      </c>
      <c r="I436" s="50">
        <v>51.268148185930499</v>
      </c>
      <c r="J436">
        <v>-7.5660798476791628E-3</v>
      </c>
      <c r="L436">
        <v>51.268148185930499</v>
      </c>
      <c r="M436">
        <f t="shared" si="24"/>
        <v>0.99883470746948932</v>
      </c>
      <c r="N436">
        <f t="shared" si="25"/>
        <v>0.99912930214406814</v>
      </c>
      <c r="O436">
        <f t="shared" si="26"/>
        <v>0.99970514859893844</v>
      </c>
      <c r="P436">
        <f t="shared" si="27"/>
        <v>-2.5614243675898367E-3</v>
      </c>
      <c r="S436">
        <v>51.268148185930499</v>
      </c>
      <c r="T436">
        <v>0</v>
      </c>
      <c r="U436">
        <v>51.268148185930499</v>
      </c>
      <c r="V436">
        <v>-1.0203513757005599E-3</v>
      </c>
    </row>
    <row r="437" spans="1:22" x14ac:dyDescent="0.3">
      <c r="A437">
        <v>50.563322886630203</v>
      </c>
      <c r="B437">
        <v>-1.0840180362206102E-2</v>
      </c>
      <c r="C437">
        <v>50.563322886630203</v>
      </c>
      <c r="D437">
        <v>-1.0083347657250698E-2</v>
      </c>
      <c r="G437" s="50">
        <v>50.563322886630203</v>
      </c>
      <c r="H437">
        <v>-1.25526757236299E-2</v>
      </c>
      <c r="I437" s="50">
        <v>50.563322886630203</v>
      </c>
      <c r="J437">
        <v>-7.5899837584213507E-3</v>
      </c>
      <c r="L437">
        <v>50.563322886630203</v>
      </c>
      <c r="M437">
        <f t="shared" si="24"/>
        <v>0.99883978526999795</v>
      </c>
      <c r="N437">
        <f t="shared" si="25"/>
        <v>0.99912655250461968</v>
      </c>
      <c r="O437">
        <f t="shared" si="26"/>
        <v>0.99971298207028647</v>
      </c>
      <c r="P437">
        <f t="shared" si="27"/>
        <v>-2.4933638988293471E-3</v>
      </c>
      <c r="S437">
        <v>50.563322886630203</v>
      </c>
      <c r="T437">
        <v>0</v>
      </c>
      <c r="U437">
        <v>50.563322886630203</v>
      </c>
      <c r="V437">
        <v>-8.5328333392453693E-4</v>
      </c>
    </row>
    <row r="438" spans="1:22" x14ac:dyDescent="0.3">
      <c r="A438">
        <v>49.868187399037801</v>
      </c>
      <c r="B438">
        <v>-1.0902630956557101E-2</v>
      </c>
      <c r="C438">
        <v>49.868187399037801</v>
      </c>
      <c r="D438">
        <v>-1.0138327565421101E-2</v>
      </c>
      <c r="G438" s="50">
        <v>49.868187399037801</v>
      </c>
      <c r="H438">
        <v>-1.2488813048769401E-2</v>
      </c>
      <c r="I438" s="50">
        <v>49.868187399037801</v>
      </c>
      <c r="J438">
        <v>-7.5254272728883407E-3</v>
      </c>
      <c r="L438">
        <v>49.868187399037801</v>
      </c>
      <c r="M438">
        <f t="shared" si="24"/>
        <v>0.99883346283808183</v>
      </c>
      <c r="N438">
        <f t="shared" si="25"/>
        <v>0.99913397838051865</v>
      </c>
      <c r="O438">
        <f t="shared" si="26"/>
        <v>0.99969922397902644</v>
      </c>
      <c r="P438">
        <f t="shared" si="27"/>
        <v>-2.6129002925327606E-3</v>
      </c>
      <c r="S438">
        <v>49.868187399037801</v>
      </c>
      <c r="T438">
        <v>0</v>
      </c>
      <c r="U438">
        <v>49.868187399037801</v>
      </c>
      <c r="V438">
        <v>-1.0455356865577399E-3</v>
      </c>
    </row>
    <row r="439" spans="1:22" x14ac:dyDescent="0.3">
      <c r="A439">
        <v>49.182608509361103</v>
      </c>
      <c r="B439">
        <v>-1.0936602664994499E-2</v>
      </c>
      <c r="C439">
        <v>49.182608509361103</v>
      </c>
      <c r="D439">
        <v>-1.01679784585664E-2</v>
      </c>
      <c r="G439" s="50">
        <v>49.182608509361103</v>
      </c>
      <c r="H439">
        <v>-1.2519417358673002E-2</v>
      </c>
      <c r="I439" s="50">
        <v>49.182608509361103</v>
      </c>
      <c r="J439">
        <v>-7.5723701674693502E-3</v>
      </c>
      <c r="L439">
        <v>49.182608509361103</v>
      </c>
      <c r="M439">
        <f t="shared" si="24"/>
        <v>0.9988300531408647</v>
      </c>
      <c r="N439">
        <f t="shared" si="25"/>
        <v>0.99912857857506043</v>
      </c>
      <c r="O439">
        <f t="shared" si="26"/>
        <v>0.9997012141974545</v>
      </c>
      <c r="P439">
        <f t="shared" si="27"/>
        <v>-2.5956082910970494E-3</v>
      </c>
      <c r="S439">
        <v>49.182608509361103</v>
      </c>
      <c r="T439">
        <v>0</v>
      </c>
      <c r="U439">
        <v>49.182608509361103</v>
      </c>
      <c r="V439">
        <v>-9.7643414255799122E-4</v>
      </c>
    </row>
    <row r="440" spans="1:22" x14ac:dyDescent="0.3">
      <c r="A440">
        <v>48.506454835207201</v>
      </c>
      <c r="B440">
        <v>-1.0906442138054499E-2</v>
      </c>
      <c r="C440">
        <v>48.506454835207201</v>
      </c>
      <c r="D440">
        <v>-1.01251349825745E-2</v>
      </c>
      <c r="G440" s="50">
        <v>48.506454835207201</v>
      </c>
      <c r="H440">
        <v>-1.2482839358977602E-2</v>
      </c>
      <c r="I440" s="50">
        <v>48.506454835207201</v>
      </c>
      <c r="J440">
        <v>-7.5522432650756205E-3</v>
      </c>
      <c r="L440">
        <v>48.506454835207201</v>
      </c>
      <c r="M440">
        <f t="shared" si="24"/>
        <v>0.9988349799196663</v>
      </c>
      <c r="N440">
        <f t="shared" si="25"/>
        <v>0.99913089375376019</v>
      </c>
      <c r="O440">
        <f t="shared" si="26"/>
        <v>0.99970382876163288</v>
      </c>
      <c r="P440">
        <f t="shared" si="27"/>
        <v>-2.5728917174988796E-3</v>
      </c>
      <c r="S440">
        <v>48.506454835207201</v>
      </c>
      <c r="T440">
        <v>0</v>
      </c>
      <c r="U440">
        <v>48.506454835207201</v>
      </c>
      <c r="V440">
        <v>-1.18801770474874E-3</v>
      </c>
    </row>
    <row r="441" spans="1:22" x14ac:dyDescent="0.3">
      <c r="A441">
        <v>47.839596800404998</v>
      </c>
      <c r="B441">
        <v>-1.0968038977108798E-2</v>
      </c>
      <c r="C441">
        <v>47.839596800404998</v>
      </c>
      <c r="D441">
        <v>-1.02099579264451E-2</v>
      </c>
      <c r="G441" s="50">
        <v>47.839596800404998</v>
      </c>
      <c r="H441">
        <v>-1.2547604814104196E-2</v>
      </c>
      <c r="I441" s="50">
        <v>47.839596800404998</v>
      </c>
      <c r="J441">
        <v>-7.5869018581389185E-3</v>
      </c>
      <c r="L441">
        <v>47.839596800404998</v>
      </c>
      <c r="M441">
        <f t="shared" si="24"/>
        <v>0.99882522574211186</v>
      </c>
      <c r="N441">
        <f t="shared" si="25"/>
        <v>0.99912690701165108</v>
      </c>
      <c r="O441">
        <f t="shared" si="26"/>
        <v>0.99969805510448961</v>
      </c>
      <c r="P441">
        <f t="shared" si="27"/>
        <v>-2.6230560683061814E-3</v>
      </c>
      <c r="S441">
        <v>47.839596800404998</v>
      </c>
      <c r="T441">
        <v>0</v>
      </c>
      <c r="U441">
        <v>47.839596800404998</v>
      </c>
      <c r="V441">
        <v>-1.25178398349135E-3</v>
      </c>
    </row>
    <row r="442" spans="1:22" x14ac:dyDescent="0.3">
      <c r="A442">
        <v>47.181906610172895</v>
      </c>
      <c r="B442">
        <v>-1.0962134506502699E-2</v>
      </c>
      <c r="C442">
        <v>47.181906610172895</v>
      </c>
      <c r="D442">
        <v>-1.0192167842436799E-2</v>
      </c>
      <c r="G442" s="50">
        <v>47.181906610172895</v>
      </c>
      <c r="H442">
        <v>-1.2578736468968598E-2</v>
      </c>
      <c r="I442" s="50">
        <v>47.181906610172895</v>
      </c>
      <c r="J442">
        <v>-7.6301551414346804E-3</v>
      </c>
      <c r="L442">
        <v>47.181906610172895</v>
      </c>
      <c r="M442">
        <f t="shared" si="24"/>
        <v>0.9988272714971943</v>
      </c>
      <c r="N442">
        <f t="shared" si="25"/>
        <v>0.99912193165352903</v>
      </c>
      <c r="O442">
        <f t="shared" si="26"/>
        <v>0.99970508088452525</v>
      </c>
      <c r="P442">
        <f t="shared" si="27"/>
        <v>-2.562012701002119E-3</v>
      </c>
      <c r="S442">
        <v>47.181906610172895</v>
      </c>
      <c r="T442">
        <v>0</v>
      </c>
      <c r="U442">
        <v>47.181906610172895</v>
      </c>
      <c r="V442">
        <v>-1.1966471270739001E-3</v>
      </c>
    </row>
    <row r="443" spans="1:22" x14ac:dyDescent="0.3">
      <c r="A443">
        <v>46.5332582266293</v>
      </c>
      <c r="B443">
        <v>-1.0975004131871699E-2</v>
      </c>
      <c r="C443">
        <v>46.5332582266293</v>
      </c>
      <c r="D443">
        <v>-1.0222953583926499E-2</v>
      </c>
      <c r="G443" s="50">
        <v>46.5332582266293</v>
      </c>
      <c r="H443">
        <v>-1.2643904914563998E-2</v>
      </c>
      <c r="I443" s="50">
        <v>46.5332582266293</v>
      </c>
      <c r="J443">
        <v>-7.6697674081180611E-3</v>
      </c>
      <c r="L443">
        <v>46.5332582266293</v>
      </c>
      <c r="M443">
        <f t="shared" si="24"/>
        <v>0.99882373132054458</v>
      </c>
      <c r="N443">
        <f t="shared" si="25"/>
        <v>0.99911737513763854</v>
      </c>
      <c r="O443">
        <f t="shared" si="26"/>
        <v>0.99970609677661393</v>
      </c>
      <c r="P443">
        <f t="shared" si="27"/>
        <v>-2.5531861758084379E-3</v>
      </c>
      <c r="S443">
        <v>46.5332582266293</v>
      </c>
      <c r="T443">
        <v>0</v>
      </c>
      <c r="U443">
        <v>46.5332582266293</v>
      </c>
      <c r="V443">
        <v>-1.3949783301541198E-3</v>
      </c>
    </row>
    <row r="444" spans="1:22" x14ac:dyDescent="0.3">
      <c r="A444">
        <v>45.893527344638898</v>
      </c>
      <c r="B444">
        <v>-1.10304098098577E-2</v>
      </c>
      <c r="C444">
        <v>45.893527344638898</v>
      </c>
      <c r="D444">
        <v>-1.0273387987500701E-2</v>
      </c>
      <c r="G444" s="50">
        <v>45.893527344638898</v>
      </c>
      <c r="H444">
        <v>-1.2619894461753999E-2</v>
      </c>
      <c r="I444" s="50">
        <v>45.893527344638898</v>
      </c>
      <c r="J444">
        <v>-7.683511870757981E-3</v>
      </c>
      <c r="L444">
        <v>45.893527344638898</v>
      </c>
      <c r="M444">
        <f t="shared" si="24"/>
        <v>0.99881793169206501</v>
      </c>
      <c r="N444">
        <f t="shared" si="25"/>
        <v>0.99911579414580665</v>
      </c>
      <c r="O444">
        <f t="shared" si="26"/>
        <v>0.99970187394145216</v>
      </c>
      <c r="P444">
        <f t="shared" si="27"/>
        <v>-2.5898761167427202E-3</v>
      </c>
      <c r="S444">
        <v>45.893527344638898</v>
      </c>
      <c r="T444">
        <v>0</v>
      </c>
      <c r="U444">
        <v>45.893527344638898</v>
      </c>
      <c r="V444">
        <v>-1.3470418686551998E-3</v>
      </c>
    </row>
    <row r="445" spans="1:22" x14ac:dyDescent="0.3">
      <c r="A445">
        <v>45.262591367990709</v>
      </c>
      <c r="B445">
        <v>-1.0981606671215401E-2</v>
      </c>
      <c r="C445">
        <v>45.262591367990709</v>
      </c>
      <c r="D445">
        <v>-1.02257994650815E-2</v>
      </c>
      <c r="G445" s="50">
        <v>45.262591367990709</v>
      </c>
      <c r="H445">
        <v>-1.26660898364811E-2</v>
      </c>
      <c r="I445" s="50">
        <v>45.262591367990709</v>
      </c>
      <c r="J445">
        <v>-7.7179287617207184E-3</v>
      </c>
      <c r="L445">
        <v>45.262591367990709</v>
      </c>
      <c r="M445">
        <f t="shared" si="24"/>
        <v>0.99882340406181946</v>
      </c>
      <c r="N445">
        <f t="shared" si="25"/>
        <v>0.99911183526621539</v>
      </c>
      <c r="O445">
        <f t="shared" si="26"/>
        <v>0.9997113123934529</v>
      </c>
      <c r="P445">
        <f t="shared" si="27"/>
        <v>-2.5078707033607817E-3</v>
      </c>
      <c r="S445">
        <v>45.262591367990709</v>
      </c>
      <c r="T445">
        <v>0</v>
      </c>
      <c r="U445">
        <v>45.262591367990709</v>
      </c>
      <c r="V445">
        <v>-1.4224830668467801E-3</v>
      </c>
    </row>
    <row r="446" spans="1:22" x14ac:dyDescent="0.3">
      <c r="A446">
        <v>44.640329385904799</v>
      </c>
      <c r="B446">
        <v>-1.0972284477610401E-2</v>
      </c>
      <c r="C446">
        <v>44.640329385904799</v>
      </c>
      <c r="D446">
        <v>-1.02140037502418E-2</v>
      </c>
      <c r="G446" s="50">
        <v>44.640329385904799</v>
      </c>
      <c r="H446">
        <v>-1.2688168622411901E-2</v>
      </c>
      <c r="I446" s="50">
        <v>44.640329385904799</v>
      </c>
      <c r="J446">
        <v>-7.7466429184033679E-3</v>
      </c>
      <c r="L446">
        <v>44.640329385904799</v>
      </c>
      <c r="M446">
        <f t="shared" si="24"/>
        <v>0.99882476049674329</v>
      </c>
      <c r="N446">
        <f t="shared" si="25"/>
        <v>0.99910853236834818</v>
      </c>
      <c r="O446">
        <f t="shared" si="26"/>
        <v>0.99971597492923792</v>
      </c>
      <c r="P446">
        <f t="shared" si="27"/>
        <v>-2.4673608318384324E-3</v>
      </c>
      <c r="S446">
        <v>44.640329385904799</v>
      </c>
      <c r="T446">
        <v>0</v>
      </c>
      <c r="U446">
        <v>44.640329385904799</v>
      </c>
      <c r="V446">
        <v>-8.1922808374201796E-4</v>
      </c>
    </row>
    <row r="447" spans="1:22" x14ac:dyDescent="0.3">
      <c r="A447">
        <v>44.026622149860799</v>
      </c>
      <c r="B447">
        <v>-1.1106406263345496E-2</v>
      </c>
      <c r="C447">
        <v>44.026622149860799</v>
      </c>
      <c r="D447">
        <v>-1.0343147296840001E-2</v>
      </c>
      <c r="G447" s="50">
        <v>44.026622149860799</v>
      </c>
      <c r="H447">
        <v>-1.26439293261882E-2</v>
      </c>
      <c r="I447" s="50">
        <v>44.026622149860799</v>
      </c>
      <c r="J447">
        <v>-7.7011807060208002E-3</v>
      </c>
      <c r="L447">
        <v>44.026622149860799</v>
      </c>
      <c r="M447">
        <f t="shared" si="24"/>
        <v>0.99880990988057816</v>
      </c>
      <c r="N447">
        <f t="shared" si="25"/>
        <v>0.99911376174669075</v>
      </c>
      <c r="O447">
        <f t="shared" si="26"/>
        <v>0.99969587860987785</v>
      </c>
      <c r="P447">
        <f t="shared" si="27"/>
        <v>-2.6419665908192008E-3</v>
      </c>
      <c r="S447">
        <v>44.026622149860799</v>
      </c>
      <c r="T447">
        <v>0</v>
      </c>
      <c r="U447">
        <v>44.026622149860799</v>
      </c>
      <c r="V447">
        <v>-1.1403729266135103E-3</v>
      </c>
    </row>
    <row r="448" spans="1:22" x14ac:dyDescent="0.3">
      <c r="A448">
        <v>43.421352050745405</v>
      </c>
      <c r="B448">
        <v>-1.1026627032554996E-2</v>
      </c>
      <c r="C448">
        <v>43.421352050745405</v>
      </c>
      <c r="D448">
        <v>-1.02421333921109E-2</v>
      </c>
      <c r="G448" s="50">
        <v>43.421352050745405</v>
      </c>
      <c r="H448">
        <v>-1.26126751345048E-2</v>
      </c>
      <c r="I448" s="50">
        <v>43.421352050745405</v>
      </c>
      <c r="J448">
        <v>-7.6755161347411109E-3</v>
      </c>
      <c r="L448">
        <v>43.421352050745405</v>
      </c>
      <c r="M448">
        <f t="shared" si="24"/>
        <v>0.99882152576334504</v>
      </c>
      <c r="N448">
        <f t="shared" si="25"/>
        <v>0.99911671387540846</v>
      </c>
      <c r="O448">
        <f t="shared" si="26"/>
        <v>0.99970455092186539</v>
      </c>
      <c r="P448">
        <f t="shared" si="27"/>
        <v>-2.5666172573697889E-3</v>
      </c>
      <c r="S448">
        <v>43.421352050745405</v>
      </c>
      <c r="T448">
        <v>0</v>
      </c>
      <c r="U448">
        <v>43.421352050745405</v>
      </c>
      <c r="V448">
        <v>-1.3638768941177698E-3</v>
      </c>
    </row>
    <row r="449" spans="1:22" x14ac:dyDescent="0.3">
      <c r="A449">
        <v>42.824403096314697</v>
      </c>
      <c r="B449">
        <v>-1.1088355704239898E-2</v>
      </c>
      <c r="C449">
        <v>42.824403096314697</v>
      </c>
      <c r="D449">
        <v>-1.0326684797885101E-2</v>
      </c>
      <c r="G449" s="50">
        <v>42.824403096314697</v>
      </c>
      <c r="H449">
        <v>-1.2761107151394103E-2</v>
      </c>
      <c r="I449" s="50">
        <v>42.824403096314697</v>
      </c>
      <c r="J449">
        <v>-7.82579563942103E-3</v>
      </c>
      <c r="L449">
        <v>42.824403096314697</v>
      </c>
      <c r="M449">
        <f t="shared" si="24"/>
        <v>0.99881180294201044</v>
      </c>
      <c r="N449">
        <f t="shared" si="25"/>
        <v>0.99909942773981886</v>
      </c>
      <c r="O449">
        <f t="shared" si="26"/>
        <v>0.99971211594179465</v>
      </c>
      <c r="P449">
        <f t="shared" si="27"/>
        <v>-2.5008891584640709E-3</v>
      </c>
      <c r="S449">
        <v>42.824403096314697</v>
      </c>
      <c r="T449">
        <v>0</v>
      </c>
      <c r="U449">
        <v>42.824403096314697</v>
      </c>
      <c r="V449">
        <v>-1.0322459504550402E-3</v>
      </c>
    </row>
    <row r="450" spans="1:22" x14ac:dyDescent="0.3">
      <c r="A450">
        <v>42.235660888965</v>
      </c>
      <c r="B450">
        <v>-1.11028614774887E-2</v>
      </c>
      <c r="C450">
        <v>42.235660888965</v>
      </c>
      <c r="D450">
        <v>-1.03433261504784E-2</v>
      </c>
      <c r="G450" s="50">
        <v>42.235660888965</v>
      </c>
      <c r="H450">
        <v>-1.2759116516331602E-2</v>
      </c>
      <c r="I450" s="50">
        <v>42.235660888965</v>
      </c>
      <c r="J450">
        <v>-7.8234817744535622E-3</v>
      </c>
      <c r="L450">
        <v>42.235660888965</v>
      </c>
      <c r="M450">
        <f t="shared" si="24"/>
        <v>0.99880988931379766</v>
      </c>
      <c r="N450">
        <f t="shared" si="25"/>
        <v>0.99909969389349684</v>
      </c>
      <c r="O450">
        <f t="shared" si="26"/>
        <v>0.99970993427235488</v>
      </c>
      <c r="P450">
        <f t="shared" si="27"/>
        <v>-2.5198443760248383E-3</v>
      </c>
      <c r="S450">
        <v>42.235660888965</v>
      </c>
      <c r="T450">
        <v>0</v>
      </c>
      <c r="U450">
        <v>42.235660888965</v>
      </c>
      <c r="V450">
        <v>-8.4426505247847694E-4</v>
      </c>
    </row>
    <row r="451" spans="1:22" x14ac:dyDescent="0.3">
      <c r="A451">
        <v>41.655012603810398</v>
      </c>
      <c r="B451">
        <v>-1.1119950984634199E-2</v>
      </c>
      <c r="C451">
        <v>41.655012603810398</v>
      </c>
      <c r="D451">
        <v>-1.0357239683667399E-2</v>
      </c>
      <c r="G451" s="50">
        <v>41.655012603810398</v>
      </c>
      <c r="H451">
        <v>-1.2745373383867503E-2</v>
      </c>
      <c r="I451" s="50">
        <v>41.655012603810398</v>
      </c>
      <c r="J451">
        <v>-7.8021825080927488E-3</v>
      </c>
      <c r="L451">
        <v>41.655012603810398</v>
      </c>
      <c r="M451">
        <f t="shared" si="24"/>
        <v>0.99880828936675803</v>
      </c>
      <c r="N451">
        <f t="shared" si="25"/>
        <v>0.99910214385745888</v>
      </c>
      <c r="O451">
        <f t="shared" si="26"/>
        <v>0.99970588143313721</v>
      </c>
      <c r="P451">
        <f t="shared" si="27"/>
        <v>-2.5550571755746506E-3</v>
      </c>
      <c r="S451">
        <v>41.655012603810398</v>
      </c>
      <c r="T451">
        <v>0</v>
      </c>
      <c r="U451">
        <v>41.655012603810398</v>
      </c>
      <c r="V451">
        <v>-1.0475842535697698E-3</v>
      </c>
    </row>
    <row r="452" spans="1:22" x14ac:dyDescent="0.3">
      <c r="A452">
        <v>41.082346967061405</v>
      </c>
      <c r="B452">
        <v>-1.1063643036651798E-2</v>
      </c>
      <c r="C452">
        <v>41.082346967061405</v>
      </c>
      <c r="D452">
        <v>-1.0315420323844899E-2</v>
      </c>
      <c r="G452" s="50">
        <v>41.082346967061405</v>
      </c>
      <c r="H452">
        <v>-1.27497132071815E-2</v>
      </c>
      <c r="I452" s="50">
        <v>41.082346967061405</v>
      </c>
      <c r="J452">
        <v>-7.785941898797011E-3</v>
      </c>
      <c r="L452">
        <v>41.082346967061405</v>
      </c>
      <c r="M452">
        <f t="shared" si="24"/>
        <v>0.99881309827241294</v>
      </c>
      <c r="N452">
        <f t="shared" si="25"/>
        <v>0.99910401194966481</v>
      </c>
      <c r="O452">
        <f t="shared" si="26"/>
        <v>0.99970882543381623</v>
      </c>
      <c r="P452">
        <f t="shared" si="27"/>
        <v>-2.5294784250478883E-3</v>
      </c>
      <c r="S452">
        <v>41.082346967061405</v>
      </c>
      <c r="T452">
        <v>0</v>
      </c>
      <c r="U452">
        <v>41.082346967061405</v>
      </c>
      <c r="V452">
        <v>-1.0323480009333302E-3</v>
      </c>
    </row>
    <row r="453" spans="1:22" x14ac:dyDescent="0.3">
      <c r="A453">
        <v>40.517554234700491</v>
      </c>
      <c r="B453">
        <v>-1.11297023260147E-2</v>
      </c>
      <c r="C453">
        <v>40.517554234700491</v>
      </c>
      <c r="D453">
        <v>-1.03749180537724E-2</v>
      </c>
      <c r="G453" s="50">
        <v>40.517554234700491</v>
      </c>
      <c r="H453">
        <v>-1.2756924730131E-2</v>
      </c>
      <c r="I453" s="50">
        <v>40.517554234700491</v>
      </c>
      <c r="J453">
        <v>-7.8090076351542397E-3</v>
      </c>
      <c r="L453">
        <v>40.517554234700491</v>
      </c>
      <c r="M453">
        <f t="shared" ref="M453:M504" si="28">10^(D453/20)</f>
        <v>0.99880625649673893</v>
      </c>
      <c r="N453">
        <f t="shared" ref="N453:N504" si="29">10^(J453/20)</f>
        <v>0.99910135879148587</v>
      </c>
      <c r="O453">
        <f t="shared" ref="O453:O504" si="30">M453/N453</f>
        <v>0.99970463227564432</v>
      </c>
      <c r="P453">
        <f t="shared" ref="P453:P504" si="31">D453-J453</f>
        <v>-2.5659104186181603E-3</v>
      </c>
      <c r="S453">
        <v>40.517554234700491</v>
      </c>
      <c r="T453">
        <v>0</v>
      </c>
      <c r="U453">
        <v>40.517554234700491</v>
      </c>
      <c r="V453">
        <v>-7.7204713960554684E-4</v>
      </c>
    </row>
    <row r="454" spans="1:22" x14ac:dyDescent="0.3">
      <c r="A454">
        <v>39.960526171451107</v>
      </c>
      <c r="B454">
        <v>-1.1154778340877601E-2</v>
      </c>
      <c r="C454">
        <v>39.960526171451107</v>
      </c>
      <c r="D454">
        <v>-1.0381369677697204E-2</v>
      </c>
      <c r="G454" s="50">
        <v>39.960526171451107</v>
      </c>
      <c r="H454">
        <v>-1.2819657253783699E-2</v>
      </c>
      <c r="I454" s="50">
        <v>39.960526171451107</v>
      </c>
      <c r="J454">
        <v>-7.8588726148051177E-3</v>
      </c>
      <c r="L454">
        <v>39.960526171451107</v>
      </c>
      <c r="M454">
        <f t="shared" si="28"/>
        <v>0.99880551461303835</v>
      </c>
      <c r="N454">
        <f t="shared" si="29"/>
        <v>0.99909562304903521</v>
      </c>
      <c r="O454">
        <f t="shared" si="30"/>
        <v>0.99970962895912652</v>
      </c>
      <c r="P454">
        <f t="shared" si="31"/>
        <v>-2.5224970628920859E-3</v>
      </c>
      <c r="S454">
        <v>39.960526171451107</v>
      </c>
      <c r="T454">
        <v>0</v>
      </c>
      <c r="U454">
        <v>39.960526171451107</v>
      </c>
      <c r="V454">
        <v>-1.19204282231067E-3</v>
      </c>
    </row>
    <row r="455" spans="1:22" x14ac:dyDescent="0.3">
      <c r="A455">
        <v>39.411156030036096</v>
      </c>
      <c r="B455">
        <v>-1.12014598460775E-2</v>
      </c>
      <c r="C455">
        <v>39.411156030036096</v>
      </c>
      <c r="D455">
        <v>-1.0444947163026498E-2</v>
      </c>
      <c r="G455" s="50">
        <v>39.411156030036096</v>
      </c>
      <c r="H455">
        <v>-1.2834936060651001E-2</v>
      </c>
      <c r="I455" s="50">
        <v>39.411156030036096</v>
      </c>
      <c r="J455">
        <v>-7.875440696401996E-3</v>
      </c>
      <c r="L455">
        <v>39.411156030036096</v>
      </c>
      <c r="M455">
        <f t="shared" si="28"/>
        <v>0.99879820375448558</v>
      </c>
      <c r="N455">
        <f t="shared" si="29"/>
        <v>0.99909371730504015</v>
      </c>
      <c r="O455">
        <f t="shared" si="30"/>
        <v>0.99970421838768875</v>
      </c>
      <c r="P455">
        <f t="shared" si="31"/>
        <v>-2.5695064666245021E-3</v>
      </c>
      <c r="S455">
        <v>39.411156030036096</v>
      </c>
      <c r="T455">
        <v>0</v>
      </c>
      <c r="U455">
        <v>39.411156030036096</v>
      </c>
      <c r="V455">
        <v>-1.2670011624891201E-3</v>
      </c>
    </row>
    <row r="456" spans="1:22" x14ac:dyDescent="0.3">
      <c r="A456">
        <v>38.869338530720498</v>
      </c>
      <c r="B456">
        <v>-1.12216813254521E-2</v>
      </c>
      <c r="C456">
        <v>38.869338530720498</v>
      </c>
      <c r="D456">
        <v>-1.0460592122841299E-2</v>
      </c>
      <c r="G456" s="50">
        <v>38.869338530720498</v>
      </c>
      <c r="H456">
        <v>-1.2794075007986799E-2</v>
      </c>
      <c r="I456" s="50">
        <v>38.869338530720498</v>
      </c>
      <c r="J456">
        <v>-7.845612009667156E-3</v>
      </c>
      <c r="L456">
        <v>38.869338530720498</v>
      </c>
      <c r="M456">
        <f t="shared" si="28"/>
        <v>0.99879640472820974</v>
      </c>
      <c r="N456">
        <f t="shared" si="29"/>
        <v>0.99909714835308783</v>
      </c>
      <c r="O456">
        <f t="shared" si="30"/>
        <v>0.99969898460287487</v>
      </c>
      <c r="P456">
        <f t="shared" si="31"/>
        <v>-2.6149801131741431E-3</v>
      </c>
      <c r="S456">
        <v>38.869338530720498</v>
      </c>
      <c r="T456">
        <v>0</v>
      </c>
      <c r="U456">
        <v>38.869338530720498</v>
      </c>
      <c r="V456">
        <v>-1.08292850416092E-3</v>
      </c>
    </row>
    <row r="457" spans="1:22" x14ac:dyDescent="0.3">
      <c r="A457">
        <v>38.334969841136399</v>
      </c>
      <c r="B457">
        <v>-1.1251871850949599E-2</v>
      </c>
      <c r="C457">
        <v>38.334969841136399</v>
      </c>
      <c r="D457">
        <v>-1.04829945512258E-2</v>
      </c>
      <c r="G457" s="50">
        <v>38.334969841136399</v>
      </c>
      <c r="H457">
        <v>-1.2835947210946896E-2</v>
      </c>
      <c r="I457" s="50">
        <v>38.334969841136399</v>
      </c>
      <c r="J457">
        <v>-7.8860683343095084E-3</v>
      </c>
      <c r="L457">
        <v>38.334969841136399</v>
      </c>
      <c r="M457">
        <f t="shared" si="28"/>
        <v>0.99879382866093236</v>
      </c>
      <c r="N457">
        <f t="shared" si="29"/>
        <v>0.99909249486264129</v>
      </c>
      <c r="O457">
        <f t="shared" si="30"/>
        <v>0.99970106251098401</v>
      </c>
      <c r="P457">
        <f t="shared" si="31"/>
        <v>-2.5969262169162916E-3</v>
      </c>
      <c r="S457">
        <v>38.334969841136399</v>
      </c>
      <c r="T457">
        <v>0</v>
      </c>
      <c r="U457">
        <v>38.334969841136399</v>
      </c>
      <c r="V457">
        <v>-9.4749924312509414E-4</v>
      </c>
    </row>
    <row r="458" spans="1:22" x14ac:dyDescent="0.3">
      <c r="A458">
        <v>37.807947556384498</v>
      </c>
      <c r="B458">
        <v>-1.1247092051543199E-2</v>
      </c>
      <c r="C458">
        <v>37.807947556384498</v>
      </c>
      <c r="D458">
        <v>-1.04800322148179E-2</v>
      </c>
      <c r="G458" s="50">
        <v>37.807947556384498</v>
      </c>
      <c r="H458">
        <v>-1.28410963098636E-2</v>
      </c>
      <c r="I458" s="50">
        <v>37.807947556384498</v>
      </c>
      <c r="J458">
        <v>-7.8978307247401288E-3</v>
      </c>
      <c r="L458">
        <v>37.807947556384498</v>
      </c>
      <c r="M458">
        <f t="shared" si="28"/>
        <v>0.99879416930120635</v>
      </c>
      <c r="N458">
        <f t="shared" si="29"/>
        <v>0.99909114189725323</v>
      </c>
      <c r="O458">
        <f t="shared" si="30"/>
        <v>0.99970275725247359</v>
      </c>
      <c r="P458">
        <f t="shared" si="31"/>
        <v>-2.582201490077771E-3</v>
      </c>
      <c r="S458">
        <v>37.807947556384498</v>
      </c>
      <c r="T458">
        <v>0</v>
      </c>
      <c r="U458">
        <v>37.807947556384498</v>
      </c>
      <c r="V458">
        <v>-1.2696320857230601E-3</v>
      </c>
    </row>
    <row r="459" spans="1:22" x14ac:dyDescent="0.3">
      <c r="A459">
        <v>37.288170679409795</v>
      </c>
      <c r="B459">
        <v>-1.1318004708590698E-2</v>
      </c>
      <c r="C459">
        <v>37.288170679409795</v>
      </c>
      <c r="D459">
        <v>-1.0572314301798801E-2</v>
      </c>
      <c r="G459" s="50">
        <v>37.288170679409795</v>
      </c>
      <c r="H459">
        <v>-1.2834532249334306E-2</v>
      </c>
      <c r="I459" s="50">
        <v>37.288170679409795</v>
      </c>
      <c r="J459">
        <v>-7.884210958240212E-3</v>
      </c>
      <c r="L459">
        <v>37.288170679409795</v>
      </c>
      <c r="M459">
        <f t="shared" si="28"/>
        <v>0.99878355780087391</v>
      </c>
      <c r="N459">
        <f t="shared" si="29"/>
        <v>0.99909270850692722</v>
      </c>
      <c r="O459">
        <f t="shared" si="30"/>
        <v>0.99969056854942384</v>
      </c>
      <c r="P459">
        <f t="shared" si="31"/>
        <v>-2.6881033435585885E-3</v>
      </c>
      <c r="S459">
        <v>37.288170679409795</v>
      </c>
      <c r="T459">
        <v>0</v>
      </c>
      <c r="U459">
        <v>37.288170679409795</v>
      </c>
      <c r="V459">
        <v>-1.1843164660376702E-3</v>
      </c>
    </row>
    <row r="460" spans="1:22" x14ac:dyDescent="0.3">
      <c r="A460">
        <v>36.775539601646599</v>
      </c>
      <c r="B460">
        <v>-1.1222977901589199E-2</v>
      </c>
      <c r="C460">
        <v>36.775539601646599</v>
      </c>
      <c r="D460">
        <v>-1.0466647223376702E-2</v>
      </c>
      <c r="G460" s="50">
        <v>36.775539601646599</v>
      </c>
      <c r="H460">
        <v>-1.28263305045656E-2</v>
      </c>
      <c r="I460" s="50">
        <v>36.775539601646599</v>
      </c>
      <c r="J460">
        <v>-7.8843052434287592E-3</v>
      </c>
      <c r="L460">
        <v>36.775539601646599</v>
      </c>
      <c r="M460">
        <f t="shared" si="28"/>
        <v>0.99879570844829024</v>
      </c>
      <c r="N460">
        <f t="shared" si="29"/>
        <v>0.99909269766179232</v>
      </c>
      <c r="O460">
        <f t="shared" si="30"/>
        <v>0.99970274108278734</v>
      </c>
      <c r="P460">
        <f t="shared" si="31"/>
        <v>-2.5823419799479424E-3</v>
      </c>
      <c r="S460">
        <v>36.775539601646599</v>
      </c>
      <c r="T460">
        <v>0</v>
      </c>
      <c r="U460">
        <v>36.775539601646599</v>
      </c>
      <c r="V460">
        <v>-9.4765084429582224E-4</v>
      </c>
    </row>
    <row r="461" spans="1:22" x14ac:dyDescent="0.3">
      <c r="A461">
        <v>36.269956083929998</v>
      </c>
      <c r="B461">
        <v>-1.1251514161990302E-2</v>
      </c>
      <c r="C461">
        <v>36.269956083929998</v>
      </c>
      <c r="D461">
        <v>-1.04866065674976E-2</v>
      </c>
      <c r="G461" s="50">
        <v>36.269956083929998</v>
      </c>
      <c r="H461">
        <v>-1.2890573188924601E-2</v>
      </c>
      <c r="I461" s="50">
        <v>36.269956083929998</v>
      </c>
      <c r="J461">
        <v>-7.9433721949690294E-3</v>
      </c>
      <c r="L461">
        <v>36.269956083929998</v>
      </c>
      <c r="M461">
        <f t="shared" si="28"/>
        <v>0.9987934133138624</v>
      </c>
      <c r="N461">
        <f t="shared" si="29"/>
        <v>0.99908590352074733</v>
      </c>
      <c r="O461">
        <f t="shared" si="30"/>
        <v>0.99970724218422635</v>
      </c>
      <c r="P461">
        <f t="shared" si="31"/>
        <v>-2.5432343725285706E-3</v>
      </c>
      <c r="S461">
        <v>36.269956083929998</v>
      </c>
      <c r="T461">
        <v>0</v>
      </c>
      <c r="U461">
        <v>36.269956083929998</v>
      </c>
      <c r="V461">
        <v>-5.8644623277359599E-4</v>
      </c>
    </row>
    <row r="462" spans="1:22" x14ac:dyDescent="0.3">
      <c r="A462">
        <v>35.7713232376693</v>
      </c>
      <c r="B462">
        <v>-1.1475533498064001E-2</v>
      </c>
      <c r="C462">
        <v>35.7713232376693</v>
      </c>
      <c r="D462">
        <v>-1.06900579807076E-2</v>
      </c>
      <c r="G462" s="50">
        <v>35.7713232376693</v>
      </c>
      <c r="H462">
        <v>-1.2865365619658899E-2</v>
      </c>
      <c r="I462" s="50">
        <v>35.7713232376693</v>
      </c>
      <c r="J462">
        <v>-7.9132297995283696E-3</v>
      </c>
      <c r="L462">
        <v>35.7713232376693</v>
      </c>
      <c r="M462">
        <f t="shared" si="28"/>
        <v>0.99877001864042503</v>
      </c>
      <c r="N462">
        <f t="shared" si="29"/>
        <v>0.9990893706261208</v>
      </c>
      <c r="O462">
        <f t="shared" si="30"/>
        <v>0.99968035693794277</v>
      </c>
      <c r="P462">
        <f t="shared" si="31"/>
        <v>-2.7768281811792299E-3</v>
      </c>
      <c r="S462">
        <v>35.7713232376693</v>
      </c>
      <c r="T462">
        <v>0</v>
      </c>
      <c r="U462">
        <v>35.7713232376693</v>
      </c>
      <c r="V462">
        <v>-1.0433044517981201E-3</v>
      </c>
    </row>
    <row r="463" spans="1:22" x14ac:dyDescent="0.3">
      <c r="A463">
        <v>35.279545506281003</v>
      </c>
      <c r="B463">
        <v>-1.1427802403884099E-2</v>
      </c>
      <c r="C463">
        <v>35.279545506281003</v>
      </c>
      <c r="D463">
        <v>-1.06555002323666E-2</v>
      </c>
      <c r="G463" s="50">
        <v>35.279545506281003</v>
      </c>
      <c r="H463">
        <v>-1.29752620713557E-2</v>
      </c>
      <c r="I463" s="50">
        <v>35.279545506281003</v>
      </c>
      <c r="J463">
        <v>-8.0269611076805181E-3</v>
      </c>
      <c r="L463">
        <v>35.279545506281003</v>
      </c>
      <c r="M463">
        <f t="shared" si="28"/>
        <v>0.9987739923625254</v>
      </c>
      <c r="N463">
        <f t="shared" si="29"/>
        <v>0.99907628883462773</v>
      </c>
      <c r="O463">
        <f t="shared" si="30"/>
        <v>0.99969742403510053</v>
      </c>
      <c r="P463">
        <f t="shared" si="31"/>
        <v>-2.6285391246860818E-3</v>
      </c>
      <c r="S463">
        <v>35.279545506281003</v>
      </c>
      <c r="T463">
        <v>0</v>
      </c>
      <c r="U463">
        <v>35.279545506281003</v>
      </c>
      <c r="V463">
        <v>-7.6028063477906482E-4</v>
      </c>
    </row>
    <row r="464" spans="1:22" x14ac:dyDescent="0.3">
      <c r="A464">
        <v>34.794528646876103</v>
      </c>
      <c r="B464">
        <v>-1.1304800090076599E-2</v>
      </c>
      <c r="C464">
        <v>34.794528646876103</v>
      </c>
      <c r="D464">
        <v>-1.05419322871859E-2</v>
      </c>
      <c r="G464" s="50">
        <v>34.794528646876103</v>
      </c>
      <c r="H464">
        <v>-1.3192056325507701E-2</v>
      </c>
      <c r="I464" s="50">
        <v>34.794528646876103</v>
      </c>
      <c r="J464">
        <v>-8.2425403366013176E-3</v>
      </c>
      <c r="L464">
        <v>34.794528646876103</v>
      </c>
      <c r="M464">
        <f t="shared" si="28"/>
        <v>0.99878705141073831</v>
      </c>
      <c r="N464">
        <f t="shared" si="29"/>
        <v>0.99905149259242731</v>
      </c>
      <c r="O464">
        <f t="shared" si="30"/>
        <v>0.99973530775575659</v>
      </c>
      <c r="P464">
        <f t="shared" si="31"/>
        <v>-2.2993919505845829E-3</v>
      </c>
      <c r="S464">
        <v>34.794528646876103</v>
      </c>
      <c r="T464">
        <v>0</v>
      </c>
      <c r="U464">
        <v>34.794528646876103</v>
      </c>
      <c r="V464">
        <v>-5.6250520066214395E-4</v>
      </c>
    </row>
    <row r="465" spans="1:22" x14ac:dyDescent="0.3">
      <c r="A465">
        <v>34.316179712200196</v>
      </c>
      <c r="B465">
        <v>-1.13953102141844E-2</v>
      </c>
      <c r="C465">
        <v>34.316179712200196</v>
      </c>
      <c r="D465">
        <v>-1.06300707615818E-2</v>
      </c>
      <c r="G465" s="50">
        <v>34.316179712200196</v>
      </c>
      <c r="H465">
        <v>-1.3077443132766304E-2</v>
      </c>
      <c r="I465" s="50">
        <v>34.316179712200196</v>
      </c>
      <c r="J465">
        <v>-8.114179848434178E-3</v>
      </c>
      <c r="L465">
        <v>34.316179712200196</v>
      </c>
      <c r="M465">
        <f t="shared" si="28"/>
        <v>0.99877691645347011</v>
      </c>
      <c r="N465">
        <f t="shared" si="29"/>
        <v>0.9990662567317613</v>
      </c>
      <c r="O465">
        <f t="shared" si="30"/>
        <v>0.99971038929966693</v>
      </c>
      <c r="P465">
        <f t="shared" si="31"/>
        <v>-2.5158909131476215E-3</v>
      </c>
      <c r="S465">
        <v>34.316179712200196</v>
      </c>
      <c r="T465">
        <v>0</v>
      </c>
      <c r="U465">
        <v>34.316179712200196</v>
      </c>
      <c r="V465">
        <v>-1.01051550655029E-3</v>
      </c>
    </row>
    <row r="466" spans="1:22" x14ac:dyDescent="0.3">
      <c r="A466">
        <v>33.844407032820797</v>
      </c>
      <c r="B466">
        <v>-1.14451152535242E-2</v>
      </c>
      <c r="C466">
        <v>33.844407032820797</v>
      </c>
      <c r="D466">
        <v>-1.0666331263209801E-2</v>
      </c>
      <c r="G466" s="50">
        <v>33.844407032820797</v>
      </c>
      <c r="H466">
        <v>-1.3095510729587801E-2</v>
      </c>
      <c r="I466" s="50">
        <v>33.844407032820797</v>
      </c>
      <c r="J466">
        <v>-8.1476749043142161E-3</v>
      </c>
      <c r="L466">
        <v>33.844407032820797</v>
      </c>
      <c r="M466">
        <f t="shared" si="28"/>
        <v>0.99877274692358675</v>
      </c>
      <c r="N466">
        <f t="shared" si="29"/>
        <v>0.9990624040791295</v>
      </c>
      <c r="O466">
        <f t="shared" si="30"/>
        <v>0.99971007100821718</v>
      </c>
      <c r="P466">
        <f t="shared" si="31"/>
        <v>-2.5186563588955845E-3</v>
      </c>
      <c r="S466">
        <v>33.844407032820797</v>
      </c>
      <c r="T466">
        <v>0</v>
      </c>
      <c r="U466">
        <v>33.844407032820797</v>
      </c>
      <c r="V466">
        <v>-7.13174291149698E-4</v>
      </c>
    </row>
    <row r="467" spans="1:22" x14ac:dyDescent="0.3">
      <c r="A467">
        <v>33.379120199560603</v>
      </c>
      <c r="B467">
        <v>-1.1441327480996202E-2</v>
      </c>
      <c r="C467">
        <v>33.379120199560603</v>
      </c>
      <c r="D467">
        <v>-1.0670717084676097E-2</v>
      </c>
      <c r="G467" s="50">
        <v>33.379120199560603</v>
      </c>
      <c r="H467">
        <v>-1.3165399422419299E-2</v>
      </c>
      <c r="I467" s="50">
        <v>33.379120199560603</v>
      </c>
      <c r="J467">
        <v>-8.1953604005221177E-3</v>
      </c>
      <c r="L467">
        <v>33.379120199560603</v>
      </c>
      <c r="M467">
        <f t="shared" si="28"/>
        <v>0.99877224260704245</v>
      </c>
      <c r="N467">
        <f t="shared" si="29"/>
        <v>0.99905691924594686</v>
      </c>
      <c r="O467">
        <f t="shared" si="30"/>
        <v>0.99971505463460553</v>
      </c>
      <c r="P467">
        <f t="shared" si="31"/>
        <v>-2.4753566841539797E-3</v>
      </c>
      <c r="S467">
        <v>33.379120199560603</v>
      </c>
      <c r="T467">
        <v>0</v>
      </c>
      <c r="U467">
        <v>33.379120199560603</v>
      </c>
      <c r="V467">
        <v>-7.3140569907081965E-4</v>
      </c>
    </row>
    <row r="468" spans="1:22" x14ac:dyDescent="0.3">
      <c r="A468">
        <v>32.920230046171099</v>
      </c>
      <c r="B468">
        <v>-1.1558808908899501E-2</v>
      </c>
      <c r="C468">
        <v>32.920230046171099</v>
      </c>
      <c r="D468">
        <v>-1.0792147991168399E-2</v>
      </c>
      <c r="G468" s="50">
        <v>32.920230046171099</v>
      </c>
      <c r="H468">
        <v>-1.3223667061176201E-2</v>
      </c>
      <c r="I468" s="50">
        <v>32.920230046171099</v>
      </c>
      <c r="J468">
        <v>-8.2613848531101434E-3</v>
      </c>
      <c r="L468">
        <v>32.920230046171099</v>
      </c>
      <c r="M468">
        <f t="shared" si="28"/>
        <v>0.99875827961924468</v>
      </c>
      <c r="N468">
        <f t="shared" si="29"/>
        <v>0.99904932509747779</v>
      </c>
      <c r="O468">
        <f t="shared" si="30"/>
        <v>0.99970867756884307</v>
      </c>
      <c r="P468">
        <f t="shared" si="31"/>
        <v>-2.5307631380582559E-3</v>
      </c>
      <c r="S468">
        <v>32.920230046171099</v>
      </c>
      <c r="T468">
        <v>0</v>
      </c>
      <c r="U468">
        <v>32.920230046171099</v>
      </c>
      <c r="V468">
        <v>-1.2683759452443199E-3</v>
      </c>
    </row>
    <row r="469" spans="1:22" x14ac:dyDescent="0.3">
      <c r="A469">
        <v>32.467648632245599</v>
      </c>
      <c r="B469">
        <v>-1.1561909355461501E-2</v>
      </c>
      <c r="C469">
        <v>32.467648632245599</v>
      </c>
      <c r="D469">
        <v>-1.0779608404341404E-2</v>
      </c>
      <c r="G469" s="50">
        <v>32.467648632245599</v>
      </c>
      <c r="H469">
        <v>-1.3207126056296301E-2</v>
      </c>
      <c r="I469" s="50">
        <v>32.467648632245599</v>
      </c>
      <c r="J469">
        <v>-8.2391560986216292E-3</v>
      </c>
      <c r="L469">
        <v>32.467648632245599</v>
      </c>
      <c r="M469">
        <f t="shared" si="28"/>
        <v>0.99875972150093195</v>
      </c>
      <c r="N469">
        <f t="shared" si="29"/>
        <v>0.9990518818477373</v>
      </c>
      <c r="O469">
        <f t="shared" si="30"/>
        <v>0.99970756238778613</v>
      </c>
      <c r="P469">
        <f t="shared" si="31"/>
        <v>-2.5404523057197745E-3</v>
      </c>
      <c r="S469">
        <v>32.467648632245599</v>
      </c>
      <c r="T469">
        <v>0</v>
      </c>
      <c r="U469">
        <v>32.467648632245599</v>
      </c>
      <c r="V469">
        <v>-6.8187708717459816E-4</v>
      </c>
    </row>
    <row r="470" spans="1:22" x14ac:dyDescent="0.3">
      <c r="A470">
        <v>32.021289226366399</v>
      </c>
      <c r="B470">
        <v>-1.1626869916462302E-2</v>
      </c>
      <c r="C470">
        <v>32.021289226366399</v>
      </c>
      <c r="D470">
        <v>-1.0856126171495601E-2</v>
      </c>
      <c r="G470" s="50">
        <v>32.021289226366399</v>
      </c>
      <c r="H470">
        <v>-1.3214241378251701E-2</v>
      </c>
      <c r="I470" s="50">
        <v>32.021289226366399</v>
      </c>
      <c r="J470">
        <v>-8.2706435888256612E-3</v>
      </c>
      <c r="L470">
        <v>32.021289226366399</v>
      </c>
      <c r="M470">
        <f t="shared" si="28"/>
        <v>0.99875092303233781</v>
      </c>
      <c r="N470">
        <f t="shared" si="29"/>
        <v>0.99904826016007675</v>
      </c>
      <c r="O470">
        <f t="shared" si="30"/>
        <v>0.99970237961508357</v>
      </c>
      <c r="P470">
        <f t="shared" si="31"/>
        <v>-2.5854825826699401E-3</v>
      </c>
      <c r="S470">
        <v>32.021289226366399</v>
      </c>
      <c r="T470">
        <v>0</v>
      </c>
      <c r="U470">
        <v>32.021289226366399</v>
      </c>
      <c r="V470">
        <v>-7.4868156747243109E-4</v>
      </c>
    </row>
    <row r="471" spans="1:22" x14ac:dyDescent="0.3">
      <c r="A471">
        <v>31.581066289483598</v>
      </c>
      <c r="B471">
        <v>-1.1668239347453001E-2</v>
      </c>
      <c r="C471">
        <v>31.581066289483598</v>
      </c>
      <c r="D471">
        <v>-1.09160069810801E-2</v>
      </c>
      <c r="G471" s="50">
        <v>31.581066289483598</v>
      </c>
      <c r="H471">
        <v>-1.3286667755696202E-2</v>
      </c>
      <c r="I471" s="50">
        <v>31.581066289483598</v>
      </c>
      <c r="J471">
        <v>-8.3381499294956189E-3</v>
      </c>
      <c r="L471">
        <v>31.581066289483598</v>
      </c>
      <c r="M471">
        <f t="shared" si="28"/>
        <v>0.99874403763427444</v>
      </c>
      <c r="N471">
        <f t="shared" si="29"/>
        <v>0.9990404956324429</v>
      </c>
      <c r="O471">
        <f t="shared" si="30"/>
        <v>0.99970325727589171</v>
      </c>
      <c r="P471">
        <f t="shared" si="31"/>
        <v>-2.5778570515844808E-3</v>
      </c>
      <c r="S471">
        <v>31.581066289483598</v>
      </c>
      <c r="T471">
        <v>0</v>
      </c>
      <c r="U471">
        <v>31.581066289483598</v>
      </c>
      <c r="V471">
        <v>-8.846463440477239E-4</v>
      </c>
    </row>
    <row r="472" spans="1:22" x14ac:dyDescent="0.3">
      <c r="A472">
        <v>31.146895458522696</v>
      </c>
      <c r="B472">
        <v>-1.1717053430291202E-2</v>
      </c>
      <c r="C472">
        <v>31.146895458522696</v>
      </c>
      <c r="D472">
        <v>-1.0959384911928098E-2</v>
      </c>
      <c r="G472" s="50">
        <v>31.146895458522696</v>
      </c>
      <c r="H472">
        <v>-1.3328071337893399E-2</v>
      </c>
      <c r="I472" s="50">
        <v>31.146895458522696</v>
      </c>
      <c r="J472">
        <v>-8.3928481936265901E-3</v>
      </c>
      <c r="L472">
        <v>31.146895458522696</v>
      </c>
      <c r="M472">
        <f t="shared" si="28"/>
        <v>0.99873904985024475</v>
      </c>
      <c r="N472">
        <f t="shared" si="29"/>
        <v>0.99903420432422652</v>
      </c>
      <c r="O472">
        <f t="shared" si="30"/>
        <v>0.99970456019152876</v>
      </c>
      <c r="P472">
        <f t="shared" si="31"/>
        <v>-2.566536718301508E-3</v>
      </c>
      <c r="S472">
        <v>31.146895458522696</v>
      </c>
      <c r="T472">
        <v>0</v>
      </c>
      <c r="U472">
        <v>31.146895458522696</v>
      </c>
      <c r="V472">
        <v>-6.6310699202176704E-4</v>
      </c>
    </row>
    <row r="473" spans="1:22" x14ac:dyDescent="0.3">
      <c r="A473">
        <v>30.718693530217998</v>
      </c>
      <c r="B473">
        <v>-1.17817912890462E-2</v>
      </c>
      <c r="C473">
        <v>30.718693530217998</v>
      </c>
      <c r="D473">
        <v>-1.10114708203378E-2</v>
      </c>
      <c r="G473" s="50">
        <v>30.718693530217998</v>
      </c>
      <c r="H473">
        <v>-1.3337353084806498E-2</v>
      </c>
      <c r="I473" s="50">
        <v>30.718693530217998</v>
      </c>
      <c r="J473">
        <v>-8.3853855720032403E-3</v>
      </c>
      <c r="L473">
        <v>30.718693530217998</v>
      </c>
      <c r="M473">
        <f t="shared" si="28"/>
        <v>0.99873306081781732</v>
      </c>
      <c r="N473">
        <f t="shared" si="29"/>
        <v>0.99903506266088171</v>
      </c>
      <c r="O473">
        <f t="shared" si="30"/>
        <v>0.99969770646261402</v>
      </c>
      <c r="P473">
        <f t="shared" si="31"/>
        <v>-2.6260852483345597E-3</v>
      </c>
      <c r="S473">
        <v>30.718693530217998</v>
      </c>
      <c r="T473">
        <v>0</v>
      </c>
      <c r="U473">
        <v>30.718693530217998</v>
      </c>
      <c r="V473">
        <v>-9.1997463562165627E-4</v>
      </c>
    </row>
    <row r="474" spans="1:22" x14ac:dyDescent="0.3">
      <c r="A474">
        <v>30.296378445167001</v>
      </c>
      <c r="B474">
        <v>-1.1828036494096899E-2</v>
      </c>
      <c r="C474">
        <v>30.296378445167001</v>
      </c>
      <c r="D474">
        <v>-1.10890058608161E-2</v>
      </c>
      <c r="G474" s="50">
        <v>30.296378445167001</v>
      </c>
      <c r="H474">
        <v>-1.33751654587732E-2</v>
      </c>
      <c r="I474" s="50">
        <v>30.296378445167001</v>
      </c>
      <c r="J474">
        <v>-8.4102272774552091E-3</v>
      </c>
      <c r="L474">
        <v>30.296378445167001</v>
      </c>
      <c r="M474">
        <f t="shared" si="28"/>
        <v>0.99872414561558664</v>
      </c>
      <c r="N474">
        <f t="shared" si="29"/>
        <v>0.99903220541766224</v>
      </c>
      <c r="O474">
        <f t="shared" si="30"/>
        <v>0.99969164177050052</v>
      </c>
      <c r="P474">
        <f t="shared" si="31"/>
        <v>-2.6787785833608906E-3</v>
      </c>
      <c r="S474">
        <v>30.296378445167001</v>
      </c>
      <c r="T474">
        <v>0</v>
      </c>
      <c r="U474">
        <v>30.296378445167001</v>
      </c>
      <c r="V474">
        <v>-5.9882383243348202E-4</v>
      </c>
    </row>
    <row r="475" spans="1:22" x14ac:dyDescent="0.3">
      <c r="A475">
        <v>29.879869272105203</v>
      </c>
      <c r="B475">
        <v>-1.1803231604664999E-2</v>
      </c>
      <c r="C475">
        <v>29.879869272105203</v>
      </c>
      <c r="D475">
        <v>-1.10234679008651E-2</v>
      </c>
      <c r="G475" s="50">
        <v>29.879869272105203</v>
      </c>
      <c r="H475">
        <v>-1.3471935251277201E-2</v>
      </c>
      <c r="I475" s="50">
        <v>29.879869272105203</v>
      </c>
      <c r="J475">
        <v>-8.5160204271426572E-3</v>
      </c>
      <c r="L475">
        <v>29.879869272105203</v>
      </c>
      <c r="M475">
        <f t="shared" si="28"/>
        <v>0.99873168135374635</v>
      </c>
      <c r="N475">
        <f t="shared" si="29"/>
        <v>0.99902003739292256</v>
      </c>
      <c r="O475">
        <f t="shared" si="30"/>
        <v>0.99971136110550018</v>
      </c>
      <c r="P475">
        <f t="shared" si="31"/>
        <v>-2.5074474737224427E-3</v>
      </c>
      <c r="S475">
        <v>29.879869272105203</v>
      </c>
      <c r="T475">
        <v>0</v>
      </c>
      <c r="U475">
        <v>29.879869272105203</v>
      </c>
      <c r="V475">
        <v>-5.8882420006511893E-4</v>
      </c>
    </row>
    <row r="476" spans="1:22" x14ac:dyDescent="0.3">
      <c r="A476">
        <v>29.469086192396691</v>
      </c>
      <c r="B476">
        <v>-1.1823150141164999E-2</v>
      </c>
      <c r="C476">
        <v>29.469086192396691</v>
      </c>
      <c r="D476">
        <v>-1.10601430800332E-2</v>
      </c>
      <c r="G476" s="50">
        <v>29.469086192396691</v>
      </c>
      <c r="H476">
        <v>-1.3469805314983898E-2</v>
      </c>
      <c r="I476" s="50">
        <v>29.469086192396691</v>
      </c>
      <c r="J476">
        <v>-8.502686182147362E-3</v>
      </c>
      <c r="L476">
        <v>29.469086192396691</v>
      </c>
      <c r="M476">
        <f t="shared" si="28"/>
        <v>0.99872746433193849</v>
      </c>
      <c r="N476">
        <f t="shared" si="29"/>
        <v>0.99902157105138634</v>
      </c>
      <c r="O476">
        <f t="shared" si="30"/>
        <v>0.9997056052361929</v>
      </c>
      <c r="P476">
        <f t="shared" si="31"/>
        <v>-2.5574568978858382E-3</v>
      </c>
      <c r="S476">
        <v>29.469086192396691</v>
      </c>
      <c r="T476">
        <v>0</v>
      </c>
      <c r="U476">
        <v>29.469086192396691</v>
      </c>
      <c r="V476">
        <v>-8.292384717947241E-4</v>
      </c>
    </row>
    <row r="477" spans="1:22" x14ac:dyDescent="0.3">
      <c r="A477">
        <v>29.063950484738001</v>
      </c>
      <c r="B477">
        <v>-1.2002136943911199E-2</v>
      </c>
      <c r="C477">
        <v>29.063950484738001</v>
      </c>
      <c r="D477">
        <v>-1.1257113010167401E-2</v>
      </c>
      <c r="G477" s="50">
        <v>29.063950484738001</v>
      </c>
      <c r="H477">
        <v>-1.3535901236574199E-2</v>
      </c>
      <c r="I477" s="50">
        <v>29.063950484738001</v>
      </c>
      <c r="J477">
        <v>-8.5840157828701181E-3</v>
      </c>
      <c r="L477">
        <v>29.063950484738001</v>
      </c>
      <c r="M477">
        <f t="shared" si="28"/>
        <v>0.99870481644478071</v>
      </c>
      <c r="N477">
        <f t="shared" si="29"/>
        <v>0.99901221684030561</v>
      </c>
      <c r="O477">
        <f t="shared" si="30"/>
        <v>0.99969229565930917</v>
      </c>
      <c r="P477">
        <f t="shared" si="31"/>
        <v>-2.6730972272972827E-3</v>
      </c>
      <c r="S477">
        <v>29.063950484738001</v>
      </c>
      <c r="T477">
        <v>0</v>
      </c>
      <c r="U477">
        <v>29.063950484738001</v>
      </c>
      <c r="V477">
        <v>-7.2026684512138726E-4</v>
      </c>
    </row>
    <row r="478" spans="1:22" x14ac:dyDescent="0.3">
      <c r="A478">
        <v>28.664384510071493</v>
      </c>
      <c r="B478">
        <v>-1.2044039211363799E-2</v>
      </c>
      <c r="C478">
        <v>28.664384510071493</v>
      </c>
      <c r="D478">
        <v>-1.1287917346473201E-2</v>
      </c>
      <c r="G478" s="50">
        <v>28.664384510071493</v>
      </c>
      <c r="H478">
        <v>-1.37446070919918E-2</v>
      </c>
      <c r="I478" s="50">
        <v>28.664384510071493</v>
      </c>
      <c r="J478">
        <v>-8.7728672437632996E-3</v>
      </c>
      <c r="L478">
        <v>28.664384510071493</v>
      </c>
      <c r="M478">
        <f t="shared" si="28"/>
        <v>0.9987012745641255</v>
      </c>
      <c r="N478">
        <f t="shared" si="29"/>
        <v>0.99899049622520808</v>
      </c>
      <c r="O478">
        <f t="shared" si="30"/>
        <v>0.99971048607351576</v>
      </c>
      <c r="P478">
        <f t="shared" si="31"/>
        <v>-2.5150501027099009E-3</v>
      </c>
      <c r="S478">
        <v>28.664384510071493</v>
      </c>
      <c r="T478">
        <v>0</v>
      </c>
      <c r="U478">
        <v>28.664384510071493</v>
      </c>
      <c r="V478">
        <v>-8.3373156564903205E-4</v>
      </c>
    </row>
    <row r="479" spans="1:22" x14ac:dyDescent="0.3">
      <c r="A479">
        <v>28.270311696707896</v>
      </c>
      <c r="B479">
        <v>-1.1851740001634199E-2</v>
      </c>
      <c r="C479">
        <v>28.270311696707896</v>
      </c>
      <c r="D479">
        <v>-1.1091124624058001E-2</v>
      </c>
      <c r="G479" s="50">
        <v>28.270311696707896</v>
      </c>
      <c r="H479">
        <v>-1.3663768444009898E-2</v>
      </c>
      <c r="I479" s="50">
        <v>28.270311696707896</v>
      </c>
      <c r="J479">
        <v>-8.6888793449084612E-3</v>
      </c>
      <c r="L479">
        <v>28.270311696707896</v>
      </c>
      <c r="M479">
        <f t="shared" si="28"/>
        <v>0.99872390199520489</v>
      </c>
      <c r="N479">
        <f t="shared" si="29"/>
        <v>0.99900015597474434</v>
      </c>
      <c r="O479">
        <f t="shared" si="30"/>
        <v>0.99972346953312541</v>
      </c>
      <c r="P479">
        <f t="shared" si="31"/>
        <v>-2.4022452791495393E-3</v>
      </c>
      <c r="S479">
        <v>28.270311696707896</v>
      </c>
      <c r="T479">
        <v>0</v>
      </c>
      <c r="U479">
        <v>28.270311696707896</v>
      </c>
      <c r="V479">
        <v>-8.4448785673885086E-4</v>
      </c>
    </row>
    <row r="480" spans="1:22" x14ac:dyDescent="0.3">
      <c r="A480">
        <v>27.8816565256516</v>
      </c>
      <c r="B480">
        <v>-1.1969535277679699E-2</v>
      </c>
      <c r="C480">
        <v>27.8816565256516</v>
      </c>
      <c r="D480">
        <v>-1.12136940911866E-2</v>
      </c>
      <c r="G480" s="50">
        <v>27.8816565256516</v>
      </c>
      <c r="H480">
        <v>-1.37400286077063E-2</v>
      </c>
      <c r="I480" s="50">
        <v>27.8816565256516</v>
      </c>
      <c r="J480">
        <v>-8.7778924081220195E-3</v>
      </c>
      <c r="L480">
        <v>27.8816565256516</v>
      </c>
      <c r="M480">
        <f t="shared" si="28"/>
        <v>0.9987098087706906</v>
      </c>
      <c r="N480">
        <f t="shared" si="29"/>
        <v>0.99898991826598982</v>
      </c>
      <c r="O480">
        <f t="shared" si="30"/>
        <v>0.9997196072851412</v>
      </c>
      <c r="P480">
        <f t="shared" si="31"/>
        <v>-2.4358016830645802E-3</v>
      </c>
      <c r="S480">
        <v>27.8816565256516</v>
      </c>
      <c r="T480">
        <v>0</v>
      </c>
      <c r="U480">
        <v>27.8816565256516</v>
      </c>
      <c r="V480">
        <v>-4.7776624404605183E-4</v>
      </c>
    </row>
    <row r="481" spans="1:22" x14ac:dyDescent="0.3">
      <c r="A481">
        <v>27.498344516128402</v>
      </c>
      <c r="B481">
        <v>-1.1991153485370401E-2</v>
      </c>
      <c r="C481">
        <v>27.498344516128402</v>
      </c>
      <c r="D481">
        <v>-1.1215973003716899E-2</v>
      </c>
      <c r="G481" s="50">
        <v>27.498344516128402</v>
      </c>
      <c r="H481">
        <v>-1.3579401358850402E-2</v>
      </c>
      <c r="I481" s="50">
        <v>27.498344516128402</v>
      </c>
      <c r="J481">
        <v>-8.6359851708814606E-3</v>
      </c>
      <c r="L481">
        <v>27.498344516128402</v>
      </c>
      <c r="M481">
        <f t="shared" si="28"/>
        <v>0.99870954673973078</v>
      </c>
      <c r="N481">
        <f t="shared" si="29"/>
        <v>0.99900623957138202</v>
      </c>
      <c r="O481">
        <f t="shared" si="30"/>
        <v>0.99970301203345979</v>
      </c>
      <c r="P481">
        <f t="shared" si="31"/>
        <v>-2.5799878328354384E-3</v>
      </c>
      <c r="S481">
        <v>27.498344516128402</v>
      </c>
      <c r="T481">
        <v>0</v>
      </c>
      <c r="U481">
        <v>27.498344516128402</v>
      </c>
      <c r="V481">
        <v>-5.0713655053868901E-4</v>
      </c>
    </row>
    <row r="482" spans="1:22" x14ac:dyDescent="0.3">
      <c r="A482">
        <v>27.120302211312701</v>
      </c>
      <c r="B482">
        <v>-1.2304233297514802E-2</v>
      </c>
      <c r="C482">
        <v>27.120302211312701</v>
      </c>
      <c r="D482">
        <v>-1.1551556959434798E-2</v>
      </c>
      <c r="G482" s="50">
        <v>27.120302211312701</v>
      </c>
      <c r="H482">
        <v>-1.36684301376916E-2</v>
      </c>
      <c r="I482" s="50">
        <v>27.120302211312701</v>
      </c>
      <c r="J482">
        <v>-8.725722758101238E-3</v>
      </c>
      <c r="L482">
        <v>27.120302211312701</v>
      </c>
      <c r="M482">
        <f t="shared" si="28"/>
        <v>0.99867096181176263</v>
      </c>
      <c r="N482">
        <f t="shared" si="29"/>
        <v>0.99899591847012492</v>
      </c>
      <c r="O482">
        <f t="shared" si="30"/>
        <v>0.99967471673071506</v>
      </c>
      <c r="P482">
        <f t="shared" si="31"/>
        <v>-2.8258342013335602E-3</v>
      </c>
      <c r="S482">
        <v>27.120302211312701</v>
      </c>
      <c r="T482">
        <v>0</v>
      </c>
      <c r="U482">
        <v>27.120302211312701</v>
      </c>
      <c r="V482">
        <v>-3.49012479659905E-4</v>
      </c>
    </row>
    <row r="483" spans="1:22" x14ac:dyDescent="0.3">
      <c r="A483">
        <v>26.747457164250001</v>
      </c>
      <c r="B483">
        <v>-1.2296168262556499E-2</v>
      </c>
      <c r="C483">
        <v>26.747457164250001</v>
      </c>
      <c r="D483">
        <v>-1.15450734256756E-2</v>
      </c>
      <c r="G483" s="50">
        <v>26.747457164250001</v>
      </c>
      <c r="H483">
        <v>-1.3922818627933899E-2</v>
      </c>
      <c r="I483" s="50">
        <v>26.747457164250001</v>
      </c>
      <c r="J483">
        <v>-9.0039707625755583E-3</v>
      </c>
      <c r="L483">
        <v>26.747457164250001</v>
      </c>
      <c r="M483">
        <f t="shared" si="28"/>
        <v>0.99867170726439691</v>
      </c>
      <c r="N483">
        <f t="shared" si="29"/>
        <v>0.99896391666258066</v>
      </c>
      <c r="O483">
        <f t="shared" si="30"/>
        <v>0.99970748753452476</v>
      </c>
      <c r="P483">
        <f t="shared" si="31"/>
        <v>-2.5411026631000418E-3</v>
      </c>
      <c r="S483">
        <v>26.747457164250001</v>
      </c>
      <c r="T483">
        <v>0</v>
      </c>
      <c r="U483">
        <v>26.747457164250001</v>
      </c>
      <c r="V483">
        <v>-5.1713538420017401E-4</v>
      </c>
    </row>
    <row r="484" spans="1:22" x14ac:dyDescent="0.3">
      <c r="A484">
        <v>26.379737923973401</v>
      </c>
      <c r="B484">
        <v>-1.23156417406878E-2</v>
      </c>
      <c r="C484">
        <v>26.379737923973401</v>
      </c>
      <c r="D484">
        <v>-1.1558251473149398E-2</v>
      </c>
      <c r="G484" s="50">
        <v>26.379737923973401</v>
      </c>
      <c r="H484">
        <v>-1.3728043192864404E-2</v>
      </c>
      <c r="I484" s="50">
        <v>26.379737923973401</v>
      </c>
      <c r="J484">
        <v>-8.7890073483769607E-3</v>
      </c>
      <c r="L484">
        <v>26.379737923973401</v>
      </c>
      <c r="M484">
        <f t="shared" si="28"/>
        <v>0.99867019210202035</v>
      </c>
      <c r="N484">
        <f t="shared" si="29"/>
        <v>0.99898863990457665</v>
      </c>
      <c r="O484">
        <f t="shared" si="30"/>
        <v>0.99968122980598983</v>
      </c>
      <c r="P484">
        <f t="shared" si="31"/>
        <v>-2.7692441247724377E-3</v>
      </c>
      <c r="S484">
        <v>26.379737923973401</v>
      </c>
      <c r="T484">
        <v>0</v>
      </c>
      <c r="U484">
        <v>26.379737923973401</v>
      </c>
      <c r="V484">
        <v>-6.6497776469986991E-4</v>
      </c>
    </row>
    <row r="485" spans="1:22" x14ac:dyDescent="0.3">
      <c r="A485">
        <v>26.0170740218114</v>
      </c>
      <c r="B485">
        <v>-1.2091394459020702E-2</v>
      </c>
      <c r="C485">
        <v>26.0170740218114</v>
      </c>
      <c r="D485">
        <v>-1.1361124665512499E-2</v>
      </c>
      <c r="G485" s="50">
        <v>26.0170740218114</v>
      </c>
      <c r="H485">
        <v>-1.3814673966695699E-2</v>
      </c>
      <c r="I485" s="50">
        <v>26.0170740218114</v>
      </c>
      <c r="J485">
        <v>-8.88256860416212E-3</v>
      </c>
      <c r="L485">
        <v>26.0170740218114</v>
      </c>
      <c r="M485">
        <f t="shared" si="28"/>
        <v>0.99869285724157431</v>
      </c>
      <c r="N485">
        <f t="shared" si="29"/>
        <v>0.99897787921889358</v>
      </c>
      <c r="O485">
        <f t="shared" si="30"/>
        <v>0.99971468639771865</v>
      </c>
      <c r="P485">
        <f t="shared" si="31"/>
        <v>-2.4785560613503795E-3</v>
      </c>
      <c r="S485">
        <v>26.0170740218114</v>
      </c>
      <c r="T485">
        <v>0</v>
      </c>
      <c r="U485">
        <v>26.0170740218114</v>
      </c>
      <c r="V485">
        <v>-5.4823095439360302E-4</v>
      </c>
    </row>
    <row r="486" spans="1:22" x14ac:dyDescent="0.3">
      <c r="A486">
        <v>25.659395957883003</v>
      </c>
      <c r="B486">
        <v>-1.2239755555006296E-2</v>
      </c>
      <c r="C486">
        <v>25.659395957883003</v>
      </c>
      <c r="D486">
        <v>-1.1460984348536499E-2</v>
      </c>
      <c r="G486" s="50">
        <v>25.659395957883003</v>
      </c>
      <c r="H486">
        <v>-1.3861204830421301E-2</v>
      </c>
      <c r="I486" s="50">
        <v>25.659395957883003</v>
      </c>
      <c r="J486">
        <v>-8.9073206445201992E-3</v>
      </c>
      <c r="L486">
        <v>25.659395957883003</v>
      </c>
      <c r="M486">
        <f t="shared" si="28"/>
        <v>0.99868137556462022</v>
      </c>
      <c r="N486">
        <f t="shared" si="29"/>
        <v>0.99897503245171371</v>
      </c>
      <c r="O486">
        <f t="shared" si="30"/>
        <v>0.99970604181530665</v>
      </c>
      <c r="P486">
        <f t="shared" si="31"/>
        <v>-2.5536637040162995E-3</v>
      </c>
      <c r="S486">
        <v>25.659395957883003</v>
      </c>
      <c r="T486">
        <v>0</v>
      </c>
      <c r="U486">
        <v>25.659395957883003</v>
      </c>
      <c r="V486">
        <v>-6.8110256916042999E-4</v>
      </c>
    </row>
    <row r="487" spans="1:22" x14ac:dyDescent="0.3">
      <c r="A487">
        <v>25.306635187778905</v>
      </c>
      <c r="B487">
        <v>-1.2488631154204099E-2</v>
      </c>
      <c r="C487">
        <v>25.306635187778905</v>
      </c>
      <c r="D487">
        <v>-1.1733676818838801E-2</v>
      </c>
      <c r="G487" s="50">
        <v>25.306635187778905</v>
      </c>
      <c r="H487">
        <v>-1.3945097954120602E-2</v>
      </c>
      <c r="I487" s="50">
        <v>25.306635187778905</v>
      </c>
      <c r="J487">
        <v>-9.0125383097995702E-3</v>
      </c>
      <c r="L487">
        <v>25.306635187778905</v>
      </c>
      <c r="M487">
        <f t="shared" si="28"/>
        <v>0.99865002257398716</v>
      </c>
      <c r="N487">
        <f t="shared" si="29"/>
        <v>0.99896293130970759</v>
      </c>
      <c r="O487">
        <f t="shared" si="30"/>
        <v>0.99968676641954057</v>
      </c>
      <c r="P487">
        <f t="shared" si="31"/>
        <v>-2.7211385090392306E-3</v>
      </c>
      <c r="S487">
        <v>25.306635187778905</v>
      </c>
      <c r="T487">
        <v>0</v>
      </c>
      <c r="U487">
        <v>25.306635187778905</v>
      </c>
      <c r="V487">
        <v>-4.3124279335415795E-4</v>
      </c>
    </row>
    <row r="488" spans="1:22" x14ac:dyDescent="0.3">
      <c r="A488">
        <v>24.958724109426203</v>
      </c>
      <c r="B488">
        <v>-1.2374430758390301E-2</v>
      </c>
      <c r="C488">
        <v>24.958724109426203</v>
      </c>
      <c r="D488">
        <v>-1.1609198039114E-2</v>
      </c>
      <c r="G488" s="50">
        <v>24.958724109426203</v>
      </c>
      <c r="H488">
        <v>-1.4131807894702799E-2</v>
      </c>
      <c r="I488" s="50">
        <v>24.958724109426203</v>
      </c>
      <c r="J488">
        <v>-9.2119359084048488E-3</v>
      </c>
      <c r="L488">
        <v>24.958724109426203</v>
      </c>
      <c r="M488">
        <f t="shared" si="28"/>
        <v>0.99866433447894154</v>
      </c>
      <c r="N488">
        <f t="shared" si="29"/>
        <v>0.9989399988834905</v>
      </c>
      <c r="O488">
        <f t="shared" si="30"/>
        <v>0.99972404308080864</v>
      </c>
      <c r="P488">
        <f t="shared" si="31"/>
        <v>-2.3972621307091508E-3</v>
      </c>
      <c r="S488">
        <v>24.958724109426203</v>
      </c>
      <c r="T488">
        <v>0</v>
      </c>
      <c r="U488">
        <v>24.958724109426203</v>
      </c>
      <c r="V488">
        <v>-7.999563667340227E-4</v>
      </c>
    </row>
    <row r="489" spans="1:22" x14ac:dyDescent="0.3">
      <c r="A489">
        <v>24.615596050133291</v>
      </c>
      <c r="B489">
        <v>-1.2570974351309296E-2</v>
      </c>
      <c r="C489">
        <v>24.615596050133291</v>
      </c>
      <c r="D489">
        <v>-1.1830824808404201E-2</v>
      </c>
      <c r="G489" s="50">
        <v>24.615596050133291</v>
      </c>
      <c r="H489">
        <v>-1.4158164126746304E-2</v>
      </c>
      <c r="I489" s="50">
        <v>24.615596050133291</v>
      </c>
      <c r="J489">
        <v>-9.2001811253523847E-3</v>
      </c>
      <c r="L489">
        <v>24.615596050133291</v>
      </c>
      <c r="M489">
        <f t="shared" si="28"/>
        <v>0.9986388531597451</v>
      </c>
      <c r="N489">
        <f t="shared" si="29"/>
        <v>0.99894135076929658</v>
      </c>
      <c r="O489">
        <f t="shared" si="30"/>
        <v>0.99969718181220701</v>
      </c>
      <c r="P489">
        <f t="shared" si="31"/>
        <v>-2.6306436830518167E-3</v>
      </c>
      <c r="S489">
        <v>24.615596050133291</v>
      </c>
      <c r="T489">
        <v>0</v>
      </c>
      <c r="U489">
        <v>24.615596050133291</v>
      </c>
      <c r="V489">
        <v>-5.6435692164313888E-4</v>
      </c>
    </row>
    <row r="490" spans="1:22" x14ac:dyDescent="0.3">
      <c r="A490">
        <v>24.277185253812601</v>
      </c>
      <c r="B490">
        <v>-1.2596332400042201E-2</v>
      </c>
      <c r="C490">
        <v>24.277185253812601</v>
      </c>
      <c r="D490">
        <v>-1.1839197406397802E-2</v>
      </c>
      <c r="G490" s="50">
        <v>24.277185253812601</v>
      </c>
      <c r="H490">
        <v>-1.4233950459171096E-2</v>
      </c>
      <c r="I490" s="50">
        <v>24.277185253812601</v>
      </c>
      <c r="J490">
        <v>-9.2936667016943492E-3</v>
      </c>
      <c r="L490">
        <v>24.277185253812601</v>
      </c>
      <c r="M490">
        <f t="shared" si="28"/>
        <v>0.99863789054129404</v>
      </c>
      <c r="N490">
        <f t="shared" si="29"/>
        <v>0.99893059929659256</v>
      </c>
      <c r="O490">
        <f t="shared" si="30"/>
        <v>0.99970697788664731</v>
      </c>
      <c r="P490">
        <f t="shared" si="31"/>
        <v>-2.5455307047034526E-3</v>
      </c>
      <c r="S490">
        <v>24.277185253812601</v>
      </c>
      <c r="T490">
        <v>0</v>
      </c>
      <c r="U490">
        <v>24.277185253812601</v>
      </c>
      <c r="V490">
        <v>-3.6399858265667696E-4</v>
      </c>
    </row>
    <row r="491" spans="1:22" x14ac:dyDescent="0.3">
      <c r="A491">
        <v>23.943426868379397</v>
      </c>
      <c r="B491">
        <v>-1.2608108873994302E-2</v>
      </c>
      <c r="C491">
        <v>23.943426868379397</v>
      </c>
      <c r="D491">
        <v>-1.18319892055254E-2</v>
      </c>
      <c r="G491" s="50">
        <v>23.943426868379397</v>
      </c>
      <c r="H491">
        <v>-1.4287155436229802E-2</v>
      </c>
      <c r="I491" s="50">
        <v>23.943426868379397</v>
      </c>
      <c r="J491">
        <v>-9.3206902387192401E-3</v>
      </c>
      <c r="L491">
        <v>23.943426868379397</v>
      </c>
      <c r="M491">
        <f t="shared" si="28"/>
        <v>0.99863871928605141</v>
      </c>
      <c r="N491">
        <f t="shared" si="29"/>
        <v>0.9989274914288705</v>
      </c>
      <c r="O491">
        <f t="shared" si="30"/>
        <v>0.99971091781405874</v>
      </c>
      <c r="P491">
        <f t="shared" si="31"/>
        <v>-2.5112989668061598E-3</v>
      </c>
      <c r="S491">
        <v>23.943426868379397</v>
      </c>
      <c r="T491">
        <v>0</v>
      </c>
      <c r="U491">
        <v>23.943426868379397</v>
      </c>
      <c r="V491">
        <v>-5.9330418559966401E-4</v>
      </c>
    </row>
    <row r="492" spans="1:22" x14ac:dyDescent="0.3">
      <c r="A492">
        <v>23.614256933323801</v>
      </c>
      <c r="B492">
        <v>-1.2699858161974897E-2</v>
      </c>
      <c r="C492">
        <v>23.614256933323801</v>
      </c>
      <c r="D492">
        <v>-1.19575421879936E-2</v>
      </c>
      <c r="G492" s="50">
        <v>23.614256933323801</v>
      </c>
      <c r="H492">
        <v>-1.4346333849947501E-2</v>
      </c>
      <c r="I492" s="50">
        <v>23.614256933323801</v>
      </c>
      <c r="J492">
        <v>-9.3953028604348808E-3</v>
      </c>
      <c r="L492">
        <v>23.614256933323801</v>
      </c>
      <c r="M492">
        <f t="shared" si="28"/>
        <v>0.99862428424615857</v>
      </c>
      <c r="N492">
        <f t="shared" si="29"/>
        <v>0.9989189105831513</v>
      </c>
      <c r="O492">
        <f t="shared" si="30"/>
        <v>0.9997050548008739</v>
      </c>
      <c r="P492">
        <f t="shared" si="31"/>
        <v>-2.5622393275587189E-3</v>
      </c>
      <c r="S492">
        <v>23.614256933323801</v>
      </c>
      <c r="T492">
        <v>0</v>
      </c>
      <c r="U492">
        <v>23.614256933323801</v>
      </c>
      <c r="V492">
        <v>-3.9618786564687991E-4</v>
      </c>
    </row>
    <row r="493" spans="1:22" x14ac:dyDescent="0.3">
      <c r="A493">
        <v>23.289612367453692</v>
      </c>
      <c r="B493">
        <v>-1.27689144380783E-2</v>
      </c>
      <c r="C493">
        <v>23.289612367453692</v>
      </c>
      <c r="D493">
        <v>-1.2038663154797799E-2</v>
      </c>
      <c r="G493" s="50">
        <v>23.289612367453692</v>
      </c>
      <c r="H493">
        <v>-1.4432220675137997E-2</v>
      </c>
      <c r="I493" s="50">
        <v>23.289612367453692</v>
      </c>
      <c r="J493">
        <v>-9.4598186225400629E-3</v>
      </c>
      <c r="L493">
        <v>23.289612367453692</v>
      </c>
      <c r="M493">
        <f t="shared" si="28"/>
        <v>0.99861495774162068</v>
      </c>
      <c r="N493">
        <f t="shared" si="29"/>
        <v>0.99891149098905774</v>
      </c>
      <c r="O493">
        <f t="shared" si="30"/>
        <v>0.99970314362172019</v>
      </c>
      <c r="P493">
        <f t="shared" si="31"/>
        <v>-2.5788445322577364E-3</v>
      </c>
      <c r="S493">
        <v>23.289612367453692</v>
      </c>
      <c r="T493">
        <v>0</v>
      </c>
      <c r="U493">
        <v>23.289612367453692</v>
      </c>
      <c r="V493">
        <v>-6.9847774324216505E-4</v>
      </c>
    </row>
    <row r="494" spans="1:22" x14ac:dyDescent="0.3">
      <c r="A494">
        <v>22.969430956805798</v>
      </c>
      <c r="B494">
        <v>-1.2788338061614302E-2</v>
      </c>
      <c r="C494">
        <v>22.969430956805798</v>
      </c>
      <c r="D494">
        <v>-1.20513831949673E-2</v>
      </c>
      <c r="G494" s="50">
        <v>22.969430956805798</v>
      </c>
      <c r="H494">
        <v>-1.44929089801466E-2</v>
      </c>
      <c r="I494" s="50">
        <v>22.969430956805798</v>
      </c>
      <c r="J494">
        <v>-9.5180876220638099E-3</v>
      </c>
      <c r="L494">
        <v>22.969430956805798</v>
      </c>
      <c r="M494">
        <f t="shared" si="28"/>
        <v>0.99861349532227106</v>
      </c>
      <c r="N494">
        <f t="shared" si="29"/>
        <v>0.99890478984727682</v>
      </c>
      <c r="O494">
        <f t="shared" si="30"/>
        <v>0.99970838609648649</v>
      </c>
      <c r="P494">
        <f t="shared" si="31"/>
        <v>-2.5332955729034899E-3</v>
      </c>
      <c r="S494">
        <v>22.969430956805798</v>
      </c>
      <c r="T494">
        <v>0</v>
      </c>
      <c r="U494">
        <v>22.969430956805798</v>
      </c>
      <c r="V494">
        <v>-6.4525366786938321E-4</v>
      </c>
    </row>
    <row r="495" spans="1:22" x14ac:dyDescent="0.3">
      <c r="A495">
        <v>22.653651342723101</v>
      </c>
      <c r="B495">
        <v>-1.2858083030393706E-2</v>
      </c>
      <c r="C495">
        <v>22.653651342723101</v>
      </c>
      <c r="D495">
        <v>-1.21284814383321E-2</v>
      </c>
      <c r="G495" s="50">
        <v>22.653651342723101</v>
      </c>
      <c r="H495">
        <v>-1.45714625440303E-2</v>
      </c>
      <c r="I495" s="50">
        <v>22.653651342723101</v>
      </c>
      <c r="J495">
        <v>-9.5957913496359688E-3</v>
      </c>
      <c r="L495">
        <v>22.653651342723101</v>
      </c>
      <c r="M495">
        <f t="shared" si="28"/>
        <v>0.99860463140529754</v>
      </c>
      <c r="N495">
        <f t="shared" si="29"/>
        <v>0.99889585371272871</v>
      </c>
      <c r="O495">
        <f t="shared" si="30"/>
        <v>0.99970845578510636</v>
      </c>
      <c r="P495">
        <f t="shared" si="31"/>
        <v>-2.5326900886961309E-3</v>
      </c>
      <c r="S495">
        <v>22.653651342723101</v>
      </c>
      <c r="T495">
        <v>0</v>
      </c>
      <c r="U495">
        <v>22.653651342723101</v>
      </c>
      <c r="V495">
        <v>-6.7059242002187591E-4</v>
      </c>
    </row>
    <row r="496" spans="1:22" x14ac:dyDescent="0.3">
      <c r="A496">
        <v>22.342213010096501</v>
      </c>
      <c r="B496">
        <v>-1.30364112903528E-2</v>
      </c>
      <c r="C496">
        <v>22.342213010096501</v>
      </c>
      <c r="D496">
        <v>-1.2301227708827502E-2</v>
      </c>
      <c r="G496" s="50">
        <v>22.342213010096501</v>
      </c>
      <c r="H496">
        <v>-1.4651974344307397E-2</v>
      </c>
      <c r="I496" s="50">
        <v>22.342213010096501</v>
      </c>
      <c r="J496">
        <v>-9.6778580624652666E-3</v>
      </c>
      <c r="L496">
        <v>22.342213010096501</v>
      </c>
      <c r="M496">
        <f t="shared" si="28"/>
        <v>0.998584771204723</v>
      </c>
      <c r="N496">
        <f t="shared" si="29"/>
        <v>0.99888641591011751</v>
      </c>
      <c r="O496">
        <f t="shared" si="30"/>
        <v>0.9996980190133834</v>
      </c>
      <c r="P496">
        <f t="shared" si="31"/>
        <v>-2.623369646362235E-3</v>
      </c>
      <c r="S496">
        <v>22.342213010096501</v>
      </c>
      <c r="T496">
        <v>0</v>
      </c>
      <c r="U496">
        <v>22.342213010096501</v>
      </c>
      <c r="V496">
        <v>-4.8135356843204098E-4</v>
      </c>
    </row>
    <row r="497" spans="1:22" x14ac:dyDescent="0.3">
      <c r="A497">
        <v>22.035056275767698</v>
      </c>
      <c r="B497">
        <v>-1.30992679076563E-2</v>
      </c>
      <c r="C497">
        <v>22.035056275767698</v>
      </c>
      <c r="D497">
        <v>-1.23729209463756E-2</v>
      </c>
      <c r="G497" s="50">
        <v>22.035056275767698</v>
      </c>
      <c r="H497">
        <v>-1.4814719551737798E-2</v>
      </c>
      <c r="I497" s="50">
        <v>22.035056275767698</v>
      </c>
      <c r="J497">
        <v>-9.8517295691838425E-3</v>
      </c>
      <c r="L497">
        <v>22.035056275767698</v>
      </c>
      <c r="M497">
        <f t="shared" si="28"/>
        <v>0.99857652893101922</v>
      </c>
      <c r="N497">
        <f t="shared" si="29"/>
        <v>0.99886642070466247</v>
      </c>
      <c r="O497">
        <f t="shared" si="30"/>
        <v>0.99970977923811</v>
      </c>
      <c r="P497">
        <f t="shared" si="31"/>
        <v>-2.5211913771917577E-3</v>
      </c>
      <c r="S497">
        <v>22.035056275767698</v>
      </c>
      <c r="T497">
        <v>0</v>
      </c>
      <c r="U497">
        <v>22.035056275767698</v>
      </c>
      <c r="V497">
        <v>-6.8387655250035095E-4</v>
      </c>
    </row>
    <row r="498" spans="1:22" x14ac:dyDescent="0.3">
      <c r="A498">
        <v>21.732122277092</v>
      </c>
      <c r="B498">
        <v>-1.3193052661110599E-2</v>
      </c>
      <c r="C498">
        <v>21.732122277092</v>
      </c>
      <c r="D498">
        <v>-1.2465459464602599E-2</v>
      </c>
      <c r="G498" s="50">
        <v>21.732122277092</v>
      </c>
      <c r="H498">
        <v>-1.4737310808753601E-2</v>
      </c>
      <c r="I498" s="50">
        <v>21.732122277092</v>
      </c>
      <c r="J498">
        <v>-9.7787085016676194E-3</v>
      </c>
      <c r="L498">
        <v>21.732122277092</v>
      </c>
      <c r="M498">
        <f t="shared" si="28"/>
        <v>0.99856589026256626</v>
      </c>
      <c r="N498">
        <f t="shared" si="29"/>
        <v>0.99887481807119349</v>
      </c>
      <c r="O498">
        <f t="shared" si="30"/>
        <v>0.9996907241998314</v>
      </c>
      <c r="P498">
        <f t="shared" si="31"/>
        <v>-2.6867509629349799E-3</v>
      </c>
      <c r="S498">
        <v>21.732122277092</v>
      </c>
      <c r="T498">
        <v>0</v>
      </c>
      <c r="U498">
        <v>21.732122277092</v>
      </c>
      <c r="V498">
        <v>-5.4030853033282299E-4</v>
      </c>
    </row>
    <row r="499" spans="1:22" x14ac:dyDescent="0.3">
      <c r="A499">
        <v>21.433352960657292</v>
      </c>
      <c r="B499">
        <v>-1.3127269541038201E-2</v>
      </c>
      <c r="C499">
        <v>21.433352960657292</v>
      </c>
      <c r="D499">
        <v>-1.2377133723272E-2</v>
      </c>
      <c r="G499" s="50">
        <v>21.433352960657292</v>
      </c>
      <c r="H499">
        <v>-1.4978408506152998E-2</v>
      </c>
      <c r="I499" s="50">
        <v>21.433352960657292</v>
      </c>
      <c r="J499">
        <v>-1.0052884259644899E-2</v>
      </c>
      <c r="L499">
        <v>21.433352960657292</v>
      </c>
      <c r="M499">
        <f t="shared" si="28"/>
        <v>0.99857604460767579</v>
      </c>
      <c r="N499">
        <f t="shared" si="29"/>
        <v>0.9988432884352636</v>
      </c>
      <c r="O499">
        <f t="shared" si="30"/>
        <v>0.99973244669040484</v>
      </c>
      <c r="P499">
        <f t="shared" si="31"/>
        <v>-2.3242494636271007E-3</v>
      </c>
      <c r="S499">
        <v>21.433352960657292</v>
      </c>
      <c r="T499">
        <v>0</v>
      </c>
      <c r="U499">
        <v>21.433352960657292</v>
      </c>
      <c r="V499">
        <v>-9.0588171917715976E-4</v>
      </c>
    </row>
    <row r="500" spans="1:22" x14ac:dyDescent="0.3">
      <c r="A500">
        <v>21.138691071159801</v>
      </c>
      <c r="B500">
        <v>-1.3407259264619E-2</v>
      </c>
      <c r="C500">
        <v>21.138691071159801</v>
      </c>
      <c r="D500">
        <v>-1.267392147884E-2</v>
      </c>
      <c r="G500" s="50">
        <v>21.138691071159801</v>
      </c>
      <c r="H500">
        <v>-1.4927382538381901E-2</v>
      </c>
      <c r="I500" s="50">
        <v>21.138691071159801</v>
      </c>
      <c r="J500">
        <v>-9.9867262145763702E-3</v>
      </c>
      <c r="L500">
        <v>21.138691071159801</v>
      </c>
      <c r="M500">
        <f t="shared" si="28"/>
        <v>0.99854192489257398</v>
      </c>
      <c r="N500">
        <f t="shared" si="29"/>
        <v>0.99885089638029978</v>
      </c>
      <c r="O500">
        <f t="shared" si="30"/>
        <v>0.99969067306357184</v>
      </c>
      <c r="P500">
        <f t="shared" si="31"/>
        <v>-2.6871952642636299E-3</v>
      </c>
      <c r="S500">
        <v>21.138691071159801</v>
      </c>
      <c r="T500">
        <v>0</v>
      </c>
      <c r="U500">
        <v>21.138691071159801</v>
      </c>
      <c r="V500">
        <v>-3.8510546244196987E-4</v>
      </c>
    </row>
    <row r="501" spans="1:22" x14ac:dyDescent="0.3">
      <c r="A501">
        <v>20.848080140431101</v>
      </c>
      <c r="B501">
        <v>-1.3420128062822601E-2</v>
      </c>
      <c r="C501">
        <v>20.848080140431101</v>
      </c>
      <c r="D501">
        <v>-1.2671564275400202E-2</v>
      </c>
      <c r="G501" s="50">
        <v>20.848080140431101</v>
      </c>
      <c r="H501">
        <v>-1.48894061912964E-2</v>
      </c>
      <c r="I501" s="50">
        <v>20.848080140431101</v>
      </c>
      <c r="J501">
        <v>-9.9454351696326004E-3</v>
      </c>
      <c r="L501">
        <v>20.848080140431101</v>
      </c>
      <c r="M501">
        <f t="shared" si="28"/>
        <v>0.99854219587998894</v>
      </c>
      <c r="N501">
        <f t="shared" si="29"/>
        <v>0.99885564473619703</v>
      </c>
      <c r="O501">
        <f t="shared" si="30"/>
        <v>0.99968619203599651</v>
      </c>
      <c r="P501">
        <f t="shared" si="31"/>
        <v>-2.726129105767602E-3</v>
      </c>
      <c r="S501">
        <v>20.848080140431101</v>
      </c>
      <c r="T501">
        <v>0</v>
      </c>
      <c r="U501">
        <v>20.848080140431101</v>
      </c>
      <c r="V501">
        <v>-7.4807345959016002E-4</v>
      </c>
    </row>
    <row r="502" spans="1:22" x14ac:dyDescent="0.3">
      <c r="A502">
        <v>20.561464476617292</v>
      </c>
      <c r="B502">
        <v>-1.3558892752004802E-2</v>
      </c>
      <c r="C502">
        <v>20.561464476617292</v>
      </c>
      <c r="D502">
        <v>-1.2817967649789E-2</v>
      </c>
      <c r="G502" s="50">
        <v>20.561464476617292</v>
      </c>
      <c r="H502">
        <v>-1.4998568454123501E-2</v>
      </c>
      <c r="I502" s="50">
        <v>20.561464476617292</v>
      </c>
      <c r="J502">
        <v>-1.0017548785091998E-2</v>
      </c>
      <c r="L502">
        <v>20.561464476617292</v>
      </c>
      <c r="M502">
        <f t="shared" si="28"/>
        <v>0.99852536528220259</v>
      </c>
      <c r="N502">
        <f t="shared" si="29"/>
        <v>0.99884735188470442</v>
      </c>
      <c r="O502">
        <f t="shared" si="30"/>
        <v>0.99967764183196339</v>
      </c>
      <c r="P502">
        <f t="shared" si="31"/>
        <v>-2.8004188646970022E-3</v>
      </c>
      <c r="S502">
        <v>20.561464476617292</v>
      </c>
      <c r="T502">
        <v>0</v>
      </c>
      <c r="U502">
        <v>20.561464476617292</v>
      </c>
      <c r="V502">
        <v>-3.7810757220313511E-4</v>
      </c>
    </row>
    <row r="503" spans="1:22" x14ac:dyDescent="0.3">
      <c r="A503">
        <v>20.278789153505798</v>
      </c>
      <c r="B503">
        <v>-1.3600599257874301E-2</v>
      </c>
      <c r="C503">
        <v>20.278789153505798</v>
      </c>
      <c r="D503">
        <v>-1.2914099397951297E-2</v>
      </c>
      <c r="G503" s="50">
        <v>20.278789153505798</v>
      </c>
      <c r="H503">
        <v>-1.5066021897101999E-2</v>
      </c>
      <c r="I503" s="50">
        <v>20.278789153505798</v>
      </c>
      <c r="J503">
        <v>-1.0100723178064199E-2</v>
      </c>
      <c r="L503">
        <v>20.278789153505798</v>
      </c>
      <c r="M503">
        <f t="shared" si="28"/>
        <v>0.99851431408747615</v>
      </c>
      <c r="N503">
        <f t="shared" si="29"/>
        <v>0.99883778716216531</v>
      </c>
      <c r="O503">
        <f t="shared" si="30"/>
        <v>0.99967615054331471</v>
      </c>
      <c r="P503">
        <f t="shared" si="31"/>
        <v>-2.8133762198870975E-3</v>
      </c>
      <c r="S503">
        <v>20.278789153505798</v>
      </c>
      <c r="T503">
        <v>0</v>
      </c>
      <c r="U503">
        <v>20.278789153505798</v>
      </c>
      <c r="V503">
        <v>-5.38015873189579E-4</v>
      </c>
    </row>
    <row r="504" spans="1:22" x14ac:dyDescent="0.3">
      <c r="A504">
        <v>20</v>
      </c>
      <c r="B504">
        <v>-1.3745969815763202E-2</v>
      </c>
      <c r="C504">
        <v>20</v>
      </c>
      <c r="D504">
        <v>-1.3024828224420602E-2</v>
      </c>
      <c r="G504">
        <v>20</v>
      </c>
      <c r="H504">
        <v>-1.52487978602388E-2</v>
      </c>
      <c r="I504">
        <v>20</v>
      </c>
      <c r="J504">
        <v>-1.0326701625925598E-2</v>
      </c>
      <c r="L504">
        <v>20</v>
      </c>
      <c r="M504">
        <f t="shared" si="28"/>
        <v>0.99850158498106578</v>
      </c>
      <c r="N504">
        <f t="shared" si="29"/>
        <v>0.99881180100691291</v>
      </c>
      <c r="O504">
        <f t="shared" si="30"/>
        <v>0.99968941493729413</v>
      </c>
      <c r="P504">
        <f t="shared" si="31"/>
        <v>-2.6981265984950039E-3</v>
      </c>
      <c r="S504">
        <v>20</v>
      </c>
      <c r="T504">
        <v>0</v>
      </c>
      <c r="U504">
        <v>20</v>
      </c>
      <c r="V504">
        <v>-1.9429061831033299E-4</v>
      </c>
    </row>
    <row r="506" spans="1:22" x14ac:dyDescent="0.3">
      <c r="A506" t="s">
        <v>35</v>
      </c>
      <c r="G506" t="s">
        <v>35</v>
      </c>
      <c r="S506" t="s">
        <v>36</v>
      </c>
    </row>
    <row r="507" spans="1:22" x14ac:dyDescent="0.3">
      <c r="A507" t="s">
        <v>37</v>
      </c>
      <c r="B507" t="s">
        <v>38</v>
      </c>
      <c r="C507" t="s">
        <v>39</v>
      </c>
      <c r="G507" t="s">
        <v>37</v>
      </c>
      <c r="H507" t="s">
        <v>38</v>
      </c>
      <c r="I507" t="s">
        <v>39</v>
      </c>
      <c r="S507" t="s">
        <v>37</v>
      </c>
      <c r="T507" t="s">
        <v>38</v>
      </c>
      <c r="U507" t="s">
        <v>39</v>
      </c>
    </row>
    <row r="508" spans="1:22" x14ac:dyDescent="0.3">
      <c r="A508" t="s">
        <v>23</v>
      </c>
      <c r="B508" t="s">
        <v>40</v>
      </c>
      <c r="C508" t="s">
        <v>40</v>
      </c>
      <c r="G508" t="s">
        <v>23</v>
      </c>
      <c r="H508" t="s">
        <v>40</v>
      </c>
      <c r="I508" t="s">
        <v>40</v>
      </c>
      <c r="S508" t="s">
        <v>23</v>
      </c>
      <c r="T508" t="s">
        <v>40</v>
      </c>
      <c r="U508" t="s">
        <v>40</v>
      </c>
    </row>
    <row r="509" spans="1:22" x14ac:dyDescent="0.3">
      <c r="A509" t="s">
        <v>24</v>
      </c>
      <c r="B509" t="s">
        <v>40</v>
      </c>
      <c r="C509" t="s">
        <v>40</v>
      </c>
      <c r="G509" t="s">
        <v>24</v>
      </c>
      <c r="H509" t="s">
        <v>40</v>
      </c>
      <c r="I509" t="s">
        <v>40</v>
      </c>
      <c r="S509" t="s">
        <v>24</v>
      </c>
      <c r="T509" t="s">
        <v>40</v>
      </c>
      <c r="U509" t="s">
        <v>40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K1:AU28"/>
  <sheetViews>
    <sheetView topLeftCell="H1" workbookViewId="0">
      <selection activeCell="AA15" sqref="AA15"/>
    </sheetView>
  </sheetViews>
  <sheetFormatPr baseColWidth="10" defaultColWidth="8.88671875" defaultRowHeight="14.4" x14ac:dyDescent="0.3"/>
  <cols>
    <col min="26" max="26" width="9.5546875" customWidth="1"/>
  </cols>
  <sheetData>
    <row r="1" spans="11:47" x14ac:dyDescent="0.3">
      <c r="AE1" t="s">
        <v>41</v>
      </c>
      <c r="AG1" t="s">
        <v>42</v>
      </c>
    </row>
    <row r="2" spans="11:47" x14ac:dyDescent="0.3">
      <c r="M2" s="35" t="s">
        <v>43</v>
      </c>
      <c r="N2" s="35" t="s">
        <v>44</v>
      </c>
      <c r="O2" s="35" t="s">
        <v>45</v>
      </c>
      <c r="P2" s="35" t="s">
        <v>46</v>
      </c>
      <c r="Q2" s="35" t="s">
        <v>47</v>
      </c>
      <c r="U2" s="35" t="s">
        <v>43</v>
      </c>
      <c r="V2" s="35" t="s">
        <v>44</v>
      </c>
      <c r="W2" s="35" t="s">
        <v>45</v>
      </c>
      <c r="X2" s="35" t="s">
        <v>46</v>
      </c>
      <c r="Y2" s="35" t="s">
        <v>47</v>
      </c>
      <c r="Z2" s="35"/>
      <c r="AA2" s="1" t="s">
        <v>48</v>
      </c>
      <c r="AG2" s="35" t="s">
        <v>43</v>
      </c>
      <c r="AH2" s="35" t="s">
        <v>44</v>
      </c>
      <c r="AI2" s="35" t="s">
        <v>45</v>
      </c>
      <c r="AJ2" s="35" t="s">
        <v>46</v>
      </c>
      <c r="AK2" s="35" t="s">
        <v>47</v>
      </c>
      <c r="AL2" s="35"/>
      <c r="AO2" s="35" t="s">
        <v>43</v>
      </c>
      <c r="AP2" s="35" t="s">
        <v>44</v>
      </c>
      <c r="AQ2" s="35" t="s">
        <v>45</v>
      </c>
      <c r="AR2" s="35" t="s">
        <v>46</v>
      </c>
      <c r="AS2" s="35" t="s">
        <v>47</v>
      </c>
      <c r="AU2" s="1" t="s">
        <v>48</v>
      </c>
    </row>
    <row r="3" spans="11:47" x14ac:dyDescent="0.3">
      <c r="K3" t="s">
        <v>49</v>
      </c>
      <c r="L3" t="s">
        <v>50</v>
      </c>
      <c r="M3">
        <v>16.872</v>
      </c>
      <c r="N3">
        <v>-99.522999999999996</v>
      </c>
      <c r="O3">
        <v>-100.279</v>
      </c>
      <c r="P3">
        <v>-118.404</v>
      </c>
      <c r="Q3">
        <v>-98.721000000000004</v>
      </c>
      <c r="S3" t="s">
        <v>49</v>
      </c>
      <c r="T3" t="str">
        <f>L3</f>
        <v>7 V RMS</v>
      </c>
      <c r="U3">
        <f>10^(M3/20)</f>
        <v>6.9758960433280475</v>
      </c>
      <c r="V3">
        <f>10^(N3/20)</f>
        <v>1.0564525604053031E-5</v>
      </c>
      <c r="W3">
        <f>10^(O3/20)</f>
        <v>9.6838933978651851E-6</v>
      </c>
      <c r="X3">
        <f>10^(P3/20)</f>
        <v>1.2017108988505181E-6</v>
      </c>
      <c r="Y3">
        <f>10^(Q3/20)</f>
        <v>1.1586439546611608E-5</v>
      </c>
      <c r="Z3" s="52">
        <f>SQRT(SUMSQ(V3:Y3))/U3</f>
        <v>2.6474393240216631E-6</v>
      </c>
      <c r="AA3" s="53">
        <f>20*LOG10(Z3)</f>
        <v>-111.54347969179041</v>
      </c>
      <c r="AE3" t="s">
        <v>49</v>
      </c>
      <c r="AF3" t="s">
        <v>50</v>
      </c>
    </row>
    <row r="5" spans="11:47" x14ac:dyDescent="0.3">
      <c r="L5" t="s">
        <v>51</v>
      </c>
      <c r="M5">
        <v>16.187000000000001</v>
      </c>
      <c r="N5">
        <v>-100.7</v>
      </c>
      <c r="O5">
        <v>-97.037000000000006</v>
      </c>
      <c r="P5">
        <v>-115.122</v>
      </c>
      <c r="Q5">
        <v>-102.9</v>
      </c>
      <c r="T5" t="s">
        <v>51</v>
      </c>
      <c r="U5">
        <f>10^(M5/20)</f>
        <v>6.4468861385157155</v>
      </c>
      <c r="V5">
        <f>10^(N5/20)</f>
        <v>9.2257142715476164E-6</v>
      </c>
      <c r="W5">
        <f>10^(O5/20)</f>
        <v>1.4065332396155407E-5</v>
      </c>
      <c r="X5">
        <f>10^(P5/20)</f>
        <v>1.7534767024228266E-6</v>
      </c>
      <c r="Y5">
        <f>10^(Q5/20)</f>
        <v>7.1614341021290031E-6</v>
      </c>
      <c r="Z5" s="52">
        <f>SQRT(SUMSQ(V5:Y5))/U5</f>
        <v>2.848809758703226E-6</v>
      </c>
      <c r="AA5" s="53">
        <f>20*LOG10(Z5)</f>
        <v>-110.9067310327888</v>
      </c>
      <c r="AF5" t="s">
        <v>51</v>
      </c>
    </row>
    <row r="6" spans="11:47" x14ac:dyDescent="0.3">
      <c r="N6" s="51">
        <f>N5-$M$5</f>
        <v>-116.887</v>
      </c>
      <c r="O6" s="51">
        <f>O5-$M$5</f>
        <v>-113.224</v>
      </c>
      <c r="P6" s="51">
        <f>P5-$M$5</f>
        <v>-131.309</v>
      </c>
      <c r="Q6" s="51">
        <f>Q5-$M$5</f>
        <v>-119.087</v>
      </c>
      <c r="R6" s="51" t="s">
        <v>52</v>
      </c>
      <c r="AA6" s="53"/>
    </row>
    <row r="7" spans="11:47" x14ac:dyDescent="0.3">
      <c r="L7" t="s">
        <v>53</v>
      </c>
      <c r="M7">
        <v>15.493</v>
      </c>
      <c r="N7">
        <v>-102.318</v>
      </c>
      <c r="O7">
        <v>-97.724999999999994</v>
      </c>
      <c r="P7">
        <v>-116.643</v>
      </c>
      <c r="Q7">
        <v>-105.43300000000001</v>
      </c>
      <c r="T7" t="s">
        <v>53</v>
      </c>
      <c r="U7">
        <f>10^(M7/20)</f>
        <v>5.9518228994287927</v>
      </c>
      <c r="V7">
        <f>10^(N7/20)</f>
        <v>7.6577291234182101E-6</v>
      </c>
      <c r="W7">
        <f>10^(O7/20)</f>
        <v>1.2994213556374834E-5</v>
      </c>
      <c r="X7">
        <f>10^(P7/20)</f>
        <v>1.4718040715176295E-6</v>
      </c>
      <c r="Y7">
        <f>10^(Q7/20)</f>
        <v>5.3499534101253488E-6</v>
      </c>
      <c r="Z7" s="52">
        <f>SQRT(SUMSQ(V7:Y7))/U7</f>
        <v>2.7001893513745614E-6</v>
      </c>
      <c r="AA7" s="53">
        <f>20*LOG10(Z7)</f>
        <v>-111.37211559553361</v>
      </c>
      <c r="AF7" t="s">
        <v>53</v>
      </c>
    </row>
    <row r="8" spans="11:47" x14ac:dyDescent="0.3">
      <c r="N8" s="51">
        <f>N7-$M$7</f>
        <v>-117.81099999999999</v>
      </c>
      <c r="O8" s="51">
        <f>O7-$M$7</f>
        <v>-113.21799999999999</v>
      </c>
      <c r="P8" s="51">
        <f>P7-$M$7</f>
        <v>-132.136</v>
      </c>
      <c r="Q8" s="51">
        <f>Q7-$M$7</f>
        <v>-120.926</v>
      </c>
      <c r="AA8" s="53"/>
    </row>
    <row r="9" spans="11:47" x14ac:dyDescent="0.3">
      <c r="L9" t="s">
        <v>54</v>
      </c>
      <c r="M9">
        <v>14.731</v>
      </c>
      <c r="N9">
        <v>-103.91800000000001</v>
      </c>
      <c r="O9">
        <v>-98.757000000000005</v>
      </c>
      <c r="P9">
        <v>-117.73200000000001</v>
      </c>
      <c r="Q9">
        <v>-107.54</v>
      </c>
      <c r="T9" t="s">
        <v>54</v>
      </c>
      <c r="U9">
        <f>10^(M9/20)</f>
        <v>5.4519265970040633</v>
      </c>
      <c r="V9">
        <f>10^(N9/20)</f>
        <v>6.3694216537770875E-6</v>
      </c>
      <c r="W9">
        <f>10^(O9/20)</f>
        <v>1.1538517152698312E-5</v>
      </c>
      <c r="X9">
        <f>10^(P9/20)</f>
        <v>1.29837456761482E-6</v>
      </c>
      <c r="Y9">
        <f>10^(Q9/20)</f>
        <v>4.197589839910061E-6</v>
      </c>
      <c r="Z9" s="52">
        <f>SQRT(SUMSQ(V9:Y9))/U9</f>
        <v>2.5482536718053449E-6</v>
      </c>
      <c r="AA9" s="53">
        <f>20*LOG10(Z9)</f>
        <v>-111.87514682672105</v>
      </c>
      <c r="AF9" t="s">
        <v>54</v>
      </c>
    </row>
    <row r="10" spans="11:47" x14ac:dyDescent="0.3">
      <c r="N10" s="51">
        <f>N9-$M$9</f>
        <v>-118.649</v>
      </c>
      <c r="O10" s="51">
        <f>O9-$M$9</f>
        <v>-113.488</v>
      </c>
      <c r="P10" s="51">
        <f>P9-$M$9</f>
        <v>-132.46300000000002</v>
      </c>
      <c r="Q10" s="51">
        <f>Q9-$M$9</f>
        <v>-122.271</v>
      </c>
      <c r="AA10" s="53"/>
    </row>
    <row r="11" spans="11:47" x14ac:dyDescent="0.3">
      <c r="L11" t="s">
        <v>55</v>
      </c>
      <c r="M11">
        <v>13.907</v>
      </c>
      <c r="N11">
        <v>-105.914</v>
      </c>
      <c r="O11">
        <v>-100.096</v>
      </c>
      <c r="P11">
        <v>-119.902</v>
      </c>
      <c r="Q11">
        <v>-109.72000000000001</v>
      </c>
      <c r="T11" t="s">
        <v>55</v>
      </c>
      <c r="U11">
        <f>10^(M11/20)</f>
        <v>4.9584963741942332</v>
      </c>
      <c r="V11">
        <f>10^(N11/20)</f>
        <v>5.0617419401121229E-6</v>
      </c>
      <c r="W11">
        <f>10^(O11/20)</f>
        <v>9.8900844502106373E-6</v>
      </c>
      <c r="X11">
        <f>10^(P11/20)</f>
        <v>1.0113465562971191E-6</v>
      </c>
      <c r="Y11">
        <f>10^(Q11/20)</f>
        <v>3.265878321723347E-6</v>
      </c>
      <c r="Z11" s="52">
        <f>SQRT(SUMSQ(V11:Y11))/U11</f>
        <v>2.3443146465848531E-6</v>
      </c>
      <c r="AA11" s="54">
        <f>20*LOG10(Z11)</f>
        <v>-112.59968198187738</v>
      </c>
      <c r="AF11" t="s">
        <v>55</v>
      </c>
      <c r="AG11">
        <v>13.952</v>
      </c>
      <c r="AH11">
        <v>-103.03400000000001</v>
      </c>
      <c r="AI11">
        <v>-98.983000000000004</v>
      </c>
      <c r="AJ11">
        <v>-109.636</v>
      </c>
      <c r="AK11">
        <v>-108.682</v>
      </c>
      <c r="AN11" t="str">
        <f>AF11</f>
        <v>5 V RMS</v>
      </c>
      <c r="AO11">
        <f>10^(AG11/20)</f>
        <v>4.9842520940425992</v>
      </c>
      <c r="AP11">
        <f>10^(AH11/20)</f>
        <v>7.0518002186207588E-6</v>
      </c>
      <c r="AQ11">
        <f>10^(AI11/20)</f>
        <v>1.124216616240503E-5</v>
      </c>
      <c r="AR11">
        <f>10^(AJ11/20)</f>
        <v>3.2976153801591883E-6</v>
      </c>
      <c r="AS11">
        <f>10^(AK11/20)</f>
        <v>3.6804421857199293E-6</v>
      </c>
      <c r="AT11" s="52">
        <f>SQRT(SUMSQ(AP11:AS11))/AO11</f>
        <v>2.8411497539393957E-6</v>
      </c>
      <c r="AU11" s="53">
        <f>20*LOG10(AT11)</f>
        <v>-110.93011748959994</v>
      </c>
    </row>
    <row r="12" spans="11:47" x14ac:dyDescent="0.3">
      <c r="N12" s="51">
        <f>N11-$M$11</f>
        <v>-119.821</v>
      </c>
      <c r="O12" s="51">
        <f>O11-$M$11</f>
        <v>-114.003</v>
      </c>
      <c r="P12" s="51">
        <f>P11-$M$11</f>
        <v>-133.809</v>
      </c>
      <c r="Q12" s="51">
        <f>Q11-$M$11</f>
        <v>-123.62700000000001</v>
      </c>
      <c r="AA12" s="53"/>
    </row>
    <row r="13" spans="11:47" x14ac:dyDescent="0.3">
      <c r="L13" t="s">
        <v>56</v>
      </c>
      <c r="M13">
        <v>12.992000000000001</v>
      </c>
      <c r="N13">
        <v>-107.744</v>
      </c>
      <c r="O13">
        <v>-101.84399999999999</v>
      </c>
      <c r="P13">
        <v>-121.602</v>
      </c>
      <c r="Q13">
        <v>-112.009</v>
      </c>
      <c r="T13" t="s">
        <v>56</v>
      </c>
      <c r="U13">
        <f>10^(M13/20)</f>
        <v>4.4627237076225255</v>
      </c>
      <c r="V13">
        <f>10^(N13/20)</f>
        <v>4.1001524050661264E-6</v>
      </c>
      <c r="W13">
        <f>10^(O13/20)</f>
        <v>8.0872338252884338E-6</v>
      </c>
      <c r="X13">
        <f>10^(P13/20)</f>
        <v>8.3157227246458869E-7</v>
      </c>
      <c r="Y13">
        <f>10^(Q13/20)</f>
        <v>2.509285054954145E-6</v>
      </c>
      <c r="Z13" s="52">
        <f>SQRT(SUMSQ(V13:Y13))/U13</f>
        <v>2.116356451541187E-6</v>
      </c>
      <c r="AA13" s="53">
        <f>20*LOG10(Z13)</f>
        <v>-113.48822367130029</v>
      </c>
      <c r="AF13" t="s">
        <v>56</v>
      </c>
    </row>
    <row r="14" spans="11:47" x14ac:dyDescent="0.3">
      <c r="N14" s="51">
        <f>N13-$M$13</f>
        <v>-120.736</v>
      </c>
      <c r="O14" s="51">
        <f>O13-$M$13</f>
        <v>-114.836</v>
      </c>
      <c r="P14" s="51">
        <f>P13-$M$13</f>
        <v>-134.59399999999999</v>
      </c>
      <c r="Q14" s="51">
        <f>Q13-$M$13</f>
        <v>-125.001</v>
      </c>
      <c r="AA14" s="53"/>
    </row>
    <row r="15" spans="11:47" x14ac:dyDescent="0.3">
      <c r="L15" t="s">
        <v>57</v>
      </c>
      <c r="M15">
        <v>11.974</v>
      </c>
      <c r="N15">
        <v>-110.06</v>
      </c>
      <c r="O15">
        <v>-103.173</v>
      </c>
      <c r="P15">
        <v>-123.84</v>
      </c>
      <c r="Q15">
        <v>-115.105</v>
      </c>
      <c r="T15" t="s">
        <v>57</v>
      </c>
      <c r="U15">
        <f>10^(M15/20)</f>
        <v>3.9691727400947312</v>
      </c>
      <c r="V15">
        <f>10^(N15/20)</f>
        <v>3.140508693876214E-6</v>
      </c>
      <c r="W15">
        <f>10^(O15/20)</f>
        <v>6.9398486643445361E-6</v>
      </c>
      <c r="X15">
        <f>10^(P15/20)</f>
        <v>6.4268771731701904E-7</v>
      </c>
      <c r="Y15">
        <f>10^(Q15/20)</f>
        <v>1.7569119629861514E-6</v>
      </c>
      <c r="Z15" s="52">
        <f>SQRT(SUMSQ(V15:Y15))/U15</f>
        <v>1.9761621157902611E-6</v>
      </c>
      <c r="AA15" s="53">
        <f>20*LOG10(Z15)</f>
        <v>-114.08354861293178</v>
      </c>
      <c r="AF15" t="s">
        <v>57</v>
      </c>
      <c r="AG15">
        <v>12.015000000000001</v>
      </c>
      <c r="AH15">
        <v>-108.85400000000001</v>
      </c>
      <c r="AI15">
        <v>-104.477</v>
      </c>
      <c r="AJ15">
        <v>-120.661</v>
      </c>
      <c r="AK15">
        <v>-113.67700000000001</v>
      </c>
      <c r="AN15" t="str">
        <f>AF15</f>
        <v>4 V RMS</v>
      </c>
      <c r="AO15">
        <f>10^(AG15/20)</f>
        <v>3.9879527126364809</v>
      </c>
      <c r="AP15">
        <f>10^(AH15/20)</f>
        <v>3.6082780797274146E-6</v>
      </c>
      <c r="AQ15">
        <f>10^(AI15/20)</f>
        <v>5.9724153088154596E-6</v>
      </c>
      <c r="AR15">
        <f>10^(AJ15/20)</f>
        <v>9.2672312429480524E-7</v>
      </c>
      <c r="AS15">
        <f>10^(AK15/20)</f>
        <v>2.0708564737731542E-6</v>
      </c>
      <c r="AT15" s="52">
        <f>SQRT(SUMSQ(AP15:AS15))/AO15</f>
        <v>1.8398784189304039E-6</v>
      </c>
      <c r="AU15" s="53">
        <f>20*LOG10(AT15)</f>
        <v>-114.70421749342009</v>
      </c>
    </row>
    <row r="16" spans="11:47" x14ac:dyDescent="0.3">
      <c r="N16" s="51">
        <f>N15-$M$15</f>
        <v>-122.03400000000001</v>
      </c>
      <c r="O16" s="51">
        <f>O15-$M$15</f>
        <v>-115.14700000000001</v>
      </c>
      <c r="P16" s="51">
        <f>P15-$M$15</f>
        <v>-135.81399999999999</v>
      </c>
      <c r="Q16" s="51">
        <f>Q15-$M$15</f>
        <v>-127.07900000000001</v>
      </c>
      <c r="AA16" s="53"/>
    </row>
    <row r="17" spans="12:47" x14ac:dyDescent="0.3">
      <c r="L17" t="s">
        <v>58</v>
      </c>
      <c r="M17">
        <v>10.821</v>
      </c>
      <c r="N17">
        <v>-112.41800000000001</v>
      </c>
      <c r="O17">
        <v>-105.40600000000001</v>
      </c>
      <c r="P17">
        <v>-126.66200000000001</v>
      </c>
      <c r="Q17">
        <v>-117.956</v>
      </c>
      <c r="T17" t="s">
        <v>58</v>
      </c>
      <c r="U17">
        <f>10^(M17/20)</f>
        <v>3.4757617532577672</v>
      </c>
      <c r="V17">
        <f>10^(N17/20)</f>
        <v>2.393866901174187E-6</v>
      </c>
      <c r="W17">
        <f>10^(O17/20)</f>
        <v>5.3666095604607185E-6</v>
      </c>
      <c r="X17">
        <f>10^(P17/20)</f>
        <v>4.6440832894104713E-7</v>
      </c>
      <c r="Y17">
        <f>10^(Q17/20)</f>
        <v>1.2653189142138531E-6</v>
      </c>
      <c r="Z17" s="52">
        <f>SQRT(SUMSQ(V17:Y17))/U17</f>
        <v>1.7345590473482839E-6</v>
      </c>
      <c r="AA17" s="53">
        <f>20*LOG10(Z17)</f>
        <v>-115.21621822890837</v>
      </c>
      <c r="AF17" t="s">
        <v>58</v>
      </c>
    </row>
    <row r="18" spans="12:47" x14ac:dyDescent="0.3">
      <c r="N18" s="51">
        <f>N17-$M$17</f>
        <v>-123.239</v>
      </c>
      <c r="O18" s="51">
        <f>O17-$M$17</f>
        <v>-116.227</v>
      </c>
      <c r="P18" s="51">
        <f>P17-$M$17</f>
        <v>-137.483</v>
      </c>
      <c r="Q18" s="51">
        <f>Q17-$M$17</f>
        <v>-128.77700000000002</v>
      </c>
    </row>
    <row r="19" spans="12:47" x14ac:dyDescent="0.3">
      <c r="L19" t="s">
        <v>59</v>
      </c>
      <c r="M19">
        <v>9.4840000000000018</v>
      </c>
      <c r="N19">
        <v>-115.256</v>
      </c>
      <c r="O19">
        <v>-107.68</v>
      </c>
      <c r="P19">
        <v>-129.65799999999999</v>
      </c>
      <c r="Q19">
        <v>-121.98699999999999</v>
      </c>
      <c r="T19" t="str">
        <f>L19</f>
        <v>3 V RMS</v>
      </c>
      <c r="U19">
        <f>10^(M19/20)</f>
        <v>2.9798884028194195</v>
      </c>
      <c r="V19">
        <f>10^(N19/20)</f>
        <v>1.7266328527432332E-6</v>
      </c>
      <c r="W19">
        <f>10^(O19/20)</f>
        <v>4.1304750199016088E-6</v>
      </c>
      <c r="X19">
        <f>10^(P19/20)</f>
        <v>3.2892736048064797E-7</v>
      </c>
      <c r="Y19">
        <f>10^(Q19/20)</f>
        <v>7.9551798026549628E-7</v>
      </c>
      <c r="Z19" s="52">
        <f>SQRT(SUMSQ(V19:Y19))/U19</f>
        <v>1.5298732300842426E-6</v>
      </c>
      <c r="AA19" s="53">
        <f>20*LOG10(Z19)</f>
        <v>-116.30689109287486</v>
      </c>
      <c r="AF19" t="s">
        <v>59</v>
      </c>
      <c r="AG19">
        <v>9.5169999999999995</v>
      </c>
      <c r="AH19">
        <v>-115.16200000000001</v>
      </c>
      <c r="AI19">
        <v>-114.712</v>
      </c>
      <c r="AJ19">
        <v>-131.46199999999999</v>
      </c>
      <c r="AK19">
        <v>-120.313</v>
      </c>
      <c r="AN19" t="str">
        <f>AF19</f>
        <v>3 V RMS</v>
      </c>
      <c r="AO19">
        <f>10^(AG19/20)</f>
        <v>2.9912313234733361</v>
      </c>
      <c r="AP19">
        <f>10^(AH19/20)</f>
        <v>1.7454202087913707E-6</v>
      </c>
      <c r="AQ19">
        <f>10^(AI19/20)</f>
        <v>1.8382306368835293E-6</v>
      </c>
      <c r="AR19">
        <f>10^(AJ19/20)</f>
        <v>2.6723909970469051E-7</v>
      </c>
      <c r="AS19">
        <f>10^(AK19/20)</f>
        <v>9.6460609112281619E-7</v>
      </c>
      <c r="AT19" s="52">
        <f>SQRT(SUMSQ(AP19:AS19))/AO19</f>
        <v>9.1110895170179095E-7</v>
      </c>
      <c r="AU19" s="53">
        <f>20*LOG10(AT19)</f>
        <v>-120.80859372741941</v>
      </c>
    </row>
    <row r="20" spans="12:47" x14ac:dyDescent="0.3">
      <c r="N20" s="51">
        <f>N19-$M$19</f>
        <v>-124.74000000000001</v>
      </c>
      <c r="O20" s="51">
        <f>O19-$M$19</f>
        <v>-117.16400000000002</v>
      </c>
      <c r="P20" s="51">
        <f>P19-$M$19</f>
        <v>-139.142</v>
      </c>
      <c r="Q20" s="51">
        <f>Q19-$M$19</f>
        <v>-131.471</v>
      </c>
    </row>
    <row r="21" spans="12:47" x14ac:dyDescent="0.3">
      <c r="L21" t="s">
        <v>60</v>
      </c>
      <c r="M21">
        <v>7.9020000000000001</v>
      </c>
      <c r="N21">
        <v>-118.47799999999999</v>
      </c>
      <c r="O21">
        <v>-110.627</v>
      </c>
      <c r="P21">
        <v>-132.93799999999999</v>
      </c>
      <c r="Q21">
        <v>-125.706</v>
      </c>
      <c r="T21" t="str">
        <f>L21</f>
        <v>2.5 V RMS</v>
      </c>
      <c r="U21">
        <f>10^(M21/20)</f>
        <v>2.4837049336544341</v>
      </c>
      <c r="V21">
        <f>10^(N21/20)</f>
        <v>1.1915163332179992E-6</v>
      </c>
      <c r="W21">
        <f>10^(O21/20)</f>
        <v>2.9420496662406229E-6</v>
      </c>
      <c r="X21">
        <f>10^(P21/20)</f>
        <v>2.2547583296763437E-7</v>
      </c>
      <c r="Y21">
        <f>10^(Q21/20)</f>
        <v>5.1844178830782168E-7</v>
      </c>
      <c r="Z21" s="52">
        <f>SQRT(SUMSQ(V21:Y21))/U21</f>
        <v>1.2981115369976549E-6</v>
      </c>
      <c r="AA21" s="53">
        <f>20*LOG10(Z21)</f>
        <v>-117.73375980523517</v>
      </c>
      <c r="AF21" t="s">
        <v>60</v>
      </c>
    </row>
    <row r="22" spans="12:47" x14ac:dyDescent="0.3">
      <c r="N22" s="51">
        <f>N21-$M$21</f>
        <v>-126.38</v>
      </c>
      <c r="O22" s="51">
        <f>O21-$M$21</f>
        <v>-118.529</v>
      </c>
      <c r="P22" s="51">
        <f>P21-$M$21</f>
        <v>-140.83999999999997</v>
      </c>
      <c r="Q22" s="51">
        <f>Q21-$M$21</f>
        <v>-133.608</v>
      </c>
    </row>
    <row r="23" spans="12:47" x14ac:dyDescent="0.3">
      <c r="L23" t="s">
        <v>61</v>
      </c>
      <c r="M23">
        <v>5.9649999999999999</v>
      </c>
      <c r="N23">
        <v>-123.306</v>
      </c>
      <c r="O23">
        <v>-113.943</v>
      </c>
      <c r="P23">
        <v>-136.11199999999999</v>
      </c>
      <c r="Q23">
        <v>-130.31299999999999</v>
      </c>
      <c r="T23" t="str">
        <f>L23</f>
        <v>2 V RMS</v>
      </c>
      <c r="U23">
        <f>10^(M23/20)</f>
        <v>1.9872385346227948</v>
      </c>
      <c r="V23">
        <f>10^(N23/20)</f>
        <v>6.8343938098602069E-7</v>
      </c>
      <c r="W23">
        <f>10^(O23/20)</f>
        <v>2.0083990163558774E-6</v>
      </c>
      <c r="X23">
        <f>10^(P23/20)</f>
        <v>1.5645880180405516E-7</v>
      </c>
      <c r="Y23">
        <f>10^(Q23/20)</f>
        <v>3.0503522928200293E-7</v>
      </c>
      <c r="Z23" s="52">
        <f>SQRT(SUMSQ(V23:Y23))/U23</f>
        <v>1.0814095903382296E-6</v>
      </c>
      <c r="AA23" s="53">
        <f>20*LOG10(Z23)</f>
        <v>-119.3201956652004</v>
      </c>
      <c r="AF23" t="s">
        <v>61</v>
      </c>
      <c r="AG23">
        <v>5.9950000000000001</v>
      </c>
      <c r="AH23">
        <v>-121.288</v>
      </c>
      <c r="AI23">
        <v>-118.55200000000001</v>
      </c>
      <c r="AJ23">
        <v>-142.447</v>
      </c>
      <c r="AK23">
        <v>-127.753</v>
      </c>
      <c r="AN23" t="str">
        <f>AF23</f>
        <v>2 V RMS</v>
      </c>
      <c r="AO23">
        <f>10^(AG23/20)</f>
        <v>1.9941140801733626</v>
      </c>
      <c r="AP23">
        <f>10^(AH23/20)</f>
        <v>8.6218408107269972E-7</v>
      </c>
      <c r="AQ23">
        <f>10^(AI23/20)</f>
        <v>1.1814082519208851E-6</v>
      </c>
      <c r="AR23">
        <f>10^(AJ23/20)</f>
        <v>7.544839403716344E-8</v>
      </c>
      <c r="AS23">
        <f>10^(AK23/20)</f>
        <v>4.0959061779252767E-7</v>
      </c>
      <c r="AT23" s="52">
        <f>SQRT(SUMSQ(AP23:AS23))/AO23</f>
        <v>7.6259680575108208E-7</v>
      </c>
      <c r="AU23" s="53">
        <f>20*LOG10(AT23)</f>
        <v>-122.35410036329742</v>
      </c>
    </row>
    <row r="24" spans="12:47" x14ac:dyDescent="0.3">
      <c r="N24" s="51">
        <f>N23-$M$23</f>
        <v>-129.27099999999999</v>
      </c>
      <c r="O24" s="51">
        <f>O23-$M$23</f>
        <v>-119.908</v>
      </c>
      <c r="P24" s="51">
        <f>P23-$M$23</f>
        <v>-142.077</v>
      </c>
      <c r="Q24" s="51">
        <f>Q23-$M$23</f>
        <v>-136.27799999999999</v>
      </c>
    </row>
    <row r="25" spans="12:47" x14ac:dyDescent="0.3">
      <c r="L25" t="s">
        <v>62</v>
      </c>
      <c r="M25">
        <v>3.47</v>
      </c>
      <c r="N25">
        <v>-127.874</v>
      </c>
      <c r="O25">
        <v>-119.002</v>
      </c>
      <c r="P25">
        <v>-141.84899999999999</v>
      </c>
      <c r="Q25">
        <v>-134.68700000000001</v>
      </c>
      <c r="T25" t="str">
        <f>L25</f>
        <v>1.5 V RMS</v>
      </c>
      <c r="U25">
        <f>10^(M25/20)</f>
        <v>1.4910767554527176</v>
      </c>
      <c r="V25">
        <f>10^(N25/20)</f>
        <v>4.0392431765309731E-7</v>
      </c>
      <c r="W25">
        <f>10^(O25/20)</f>
        <v>1.1217601297471221E-6</v>
      </c>
      <c r="X25">
        <f>10^(P25/20)</f>
        <v>8.082579778946752E-8</v>
      </c>
      <c r="Y25">
        <f>10^(Q25/20)</f>
        <v>1.8435291114209852E-7</v>
      </c>
      <c r="Z25" s="52">
        <f>SQRT(SUMSQ(V25:Y25))/U25</f>
        <v>8.1091731724325195E-7</v>
      </c>
      <c r="AA25" s="53">
        <f>20*LOG10(Z25)</f>
        <v>-121.82046850136508</v>
      </c>
      <c r="AF25" t="s">
        <v>62</v>
      </c>
    </row>
    <row r="26" spans="12:47" x14ac:dyDescent="0.3">
      <c r="N26" s="51">
        <f>N25-$M$25</f>
        <v>-131.34399999999999</v>
      </c>
      <c r="O26" s="51">
        <f>O25-$M$25</f>
        <v>-122.47199999999999</v>
      </c>
      <c r="P26" s="51">
        <f>P25-$M$25</f>
        <v>-145.31899999999999</v>
      </c>
      <c r="Q26" s="51">
        <f>Q25-$M$25</f>
        <v>-138.15700000000001</v>
      </c>
    </row>
    <row r="27" spans="12:47" x14ac:dyDescent="0.3">
      <c r="L27" t="s">
        <v>63</v>
      </c>
      <c r="M27">
        <v>-2.9000000000000005E-2</v>
      </c>
      <c r="N27">
        <v>-130.52600000000001</v>
      </c>
      <c r="O27">
        <v>-129.07599999999999</v>
      </c>
      <c r="P27">
        <v>-152.78200000000001</v>
      </c>
      <c r="Q27">
        <v>-139.744</v>
      </c>
      <c r="T27" t="str">
        <f>L27</f>
        <v>1 V RMS</v>
      </c>
      <c r="U27">
        <f>10^(M27/20)</f>
        <v>0.99666681903774945</v>
      </c>
      <c r="V27">
        <f>10^(N27/20)</f>
        <v>2.9764596536372627E-7</v>
      </c>
      <c r="W27">
        <f>10^(O27/20)</f>
        <v>3.5172237737870348E-7</v>
      </c>
      <c r="X27">
        <f>10^(P27/20)</f>
        <v>2.2956200012125705E-8</v>
      </c>
      <c r="Y27">
        <f>10^(Q27/20)</f>
        <v>1.0299117193406968E-7</v>
      </c>
      <c r="Z27" s="52">
        <f>SQRT(SUMSQ(V27:Y27))/U27</f>
        <v>4.7427091961271518E-7</v>
      </c>
      <c r="AA27" s="53">
        <f>20*LOG10(Z27)</f>
        <v>-126.47947007449008</v>
      </c>
      <c r="AF27" t="s">
        <v>63</v>
      </c>
      <c r="AG27">
        <v>-2.5000000000000001E-2</v>
      </c>
      <c r="AH27">
        <v>-129.31399999999999</v>
      </c>
      <c r="AI27">
        <v>-126.849</v>
      </c>
      <c r="AJ27">
        <v>-150.28100000000001</v>
      </c>
      <c r="AK27">
        <v>-140.31899999999999</v>
      </c>
      <c r="AN27" t="str">
        <f>AF27</f>
        <v>1 V RMS</v>
      </c>
      <c r="AO27">
        <f>10^(AG27/20)</f>
        <v>0.99712590677053259</v>
      </c>
      <c r="AP27">
        <f>10^(AH27/20)</f>
        <v>3.4221575515373882E-7</v>
      </c>
      <c r="AQ27">
        <f>10^(AI27/20)</f>
        <v>4.5451686238496273E-7</v>
      </c>
      <c r="AR27">
        <f>10^(AJ27/20)</f>
        <v>3.0616109324147822E-8</v>
      </c>
      <c r="AS27">
        <f>10^(AK27/20)</f>
        <v>9.6393999492897094E-8</v>
      </c>
      <c r="AT27" s="52">
        <f>SQRT(SUMSQ(AP27:AS27))/AO27</f>
        <v>5.7952922999258673E-7</v>
      </c>
      <c r="AU27" s="53">
        <f>20*LOG10(AT27)</f>
        <v>-124.73849308859464</v>
      </c>
    </row>
    <row r="28" spans="12:47" x14ac:dyDescent="0.3">
      <c r="N28" s="51">
        <f>N27-$M$27</f>
        <v>-130.49700000000001</v>
      </c>
      <c r="O28" s="51">
        <f>O27-$M$27</f>
        <v>-129.047</v>
      </c>
      <c r="P28" s="51">
        <f>P27-$M$27</f>
        <v>-152.75300000000001</v>
      </c>
      <c r="Q28" s="51">
        <f>Q27-$M$27</f>
        <v>-139.715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:AU24"/>
  <sheetViews>
    <sheetView topLeftCell="H1" workbookViewId="0">
      <selection activeCell="N7" sqref="N7"/>
    </sheetView>
  </sheetViews>
  <sheetFormatPr baseColWidth="10" defaultColWidth="8.88671875" defaultRowHeight="14.4" x14ac:dyDescent="0.3"/>
  <cols>
    <col min="20" max="20" width="10.5546875" customWidth="1"/>
    <col min="26" max="26" width="9.5546875" customWidth="1"/>
  </cols>
  <sheetData>
    <row r="1" spans="11:47" x14ac:dyDescent="0.3">
      <c r="S1" s="59" t="s">
        <v>64</v>
      </c>
      <c r="T1" s="60">
        <v>45457</v>
      </c>
    </row>
    <row r="2" spans="11:47" x14ac:dyDescent="0.3">
      <c r="M2" s="35" t="s">
        <v>43</v>
      </c>
      <c r="N2" s="35" t="s">
        <v>44</v>
      </c>
      <c r="O2" s="35" t="s">
        <v>45</v>
      </c>
      <c r="P2" s="35" t="s">
        <v>46</v>
      </c>
      <c r="Q2" s="35" t="s">
        <v>47</v>
      </c>
      <c r="U2" s="35" t="s">
        <v>43</v>
      </c>
      <c r="V2" s="35" t="s">
        <v>44</v>
      </c>
      <c r="W2" s="35" t="s">
        <v>45</v>
      </c>
      <c r="X2" s="35" t="s">
        <v>46</v>
      </c>
      <c r="Y2" s="35" t="s">
        <v>47</v>
      </c>
      <c r="Z2" s="35"/>
      <c r="AA2" s="1" t="s">
        <v>48</v>
      </c>
      <c r="AG2" s="35"/>
      <c r="AH2" s="35"/>
      <c r="AI2" s="35"/>
      <c r="AJ2" s="35"/>
      <c r="AK2" s="35"/>
      <c r="AL2" s="35"/>
      <c r="AO2" s="35" t="s">
        <v>43</v>
      </c>
      <c r="AP2" s="35" t="s">
        <v>44</v>
      </c>
      <c r="AQ2" s="35" t="s">
        <v>45</v>
      </c>
      <c r="AR2" s="35" t="s">
        <v>46</v>
      </c>
      <c r="AS2" s="35" t="s">
        <v>47</v>
      </c>
      <c r="AU2" s="1" t="s">
        <v>48</v>
      </c>
    </row>
    <row r="3" spans="11:47" x14ac:dyDescent="0.3">
      <c r="K3" t="s">
        <v>49</v>
      </c>
      <c r="L3" t="s">
        <v>55</v>
      </c>
      <c r="M3">
        <v>13.906000000000001</v>
      </c>
      <c r="N3">
        <v>-106.34500000000001</v>
      </c>
      <c r="O3">
        <v>-116.59200000000001</v>
      </c>
      <c r="P3">
        <v>-130.80099999999999</v>
      </c>
      <c r="Q3">
        <v>-135.15</v>
      </c>
      <c r="S3" t="str">
        <f>K3</f>
        <v>5 kHz</v>
      </c>
      <c r="T3" t="s">
        <v>55</v>
      </c>
      <c r="U3">
        <f t="shared" ref="U3:U17" si="0">10^(M3/20)</f>
        <v>4.957925539063031</v>
      </c>
      <c r="V3">
        <f t="shared" ref="V3:V17" si="1">10^(N3/20)</f>
        <v>4.8167044600739473E-6</v>
      </c>
      <c r="W3">
        <f t="shared" ref="W3:W17" si="2">10^(O3/20)</f>
        <v>1.4804713248976188E-6</v>
      </c>
      <c r="X3">
        <f t="shared" ref="X3:X17" si="3">10^(P3/20)</f>
        <v>2.8836994858420858E-7</v>
      </c>
      <c r="Y3">
        <f t="shared" ref="Y3:Y17" si="4">10^(Q3/20)</f>
        <v>1.7478332624182134E-7</v>
      </c>
      <c r="Z3" s="52">
        <f t="shared" ref="Z3:Z17" si="5">SQRT(SUMSQ(V3:Y3))/U3</f>
        <v>1.0186439274961985E-6</v>
      </c>
      <c r="AA3" s="61">
        <f t="shared" ref="AA3:AA24" si="6">20*LOG10(Z3)</f>
        <v>-119.83955198911761</v>
      </c>
      <c r="AN3">
        <f>AF3</f>
        <v>0</v>
      </c>
      <c r="AO3">
        <f>10^(AG3/20)</f>
        <v>1</v>
      </c>
      <c r="AP3">
        <f>10^(AH3/20)</f>
        <v>1</v>
      </c>
      <c r="AQ3">
        <f>10^(AI3/20)</f>
        <v>1</v>
      </c>
      <c r="AR3">
        <f>10^(AJ3/20)</f>
        <v>1</v>
      </c>
      <c r="AS3">
        <f>10^(AK3/20)</f>
        <v>1</v>
      </c>
      <c r="AT3" s="52">
        <f>SQRT(SUMSQ(AP3:AS3))/AO3</f>
        <v>2</v>
      </c>
      <c r="AU3" s="53">
        <f>20*LOG10(AT3)</f>
        <v>6.0205999132796242</v>
      </c>
    </row>
    <row r="4" spans="11:47" x14ac:dyDescent="0.3">
      <c r="L4" t="s">
        <v>56</v>
      </c>
      <c r="M4">
        <v>12.992000000000001</v>
      </c>
      <c r="N4">
        <v>-108.395</v>
      </c>
      <c r="O4">
        <v>-118.944</v>
      </c>
      <c r="P4">
        <v>-134.67400000000001</v>
      </c>
      <c r="Q4">
        <v>-137.00299999999999</v>
      </c>
      <c r="T4" t="s">
        <v>56</v>
      </c>
      <c r="U4">
        <f t="shared" si="0"/>
        <v>4.4627237076225255</v>
      </c>
      <c r="V4">
        <f t="shared" si="1"/>
        <v>3.8040831393319031E-6</v>
      </c>
      <c r="W4">
        <f t="shared" si="2"/>
        <v>1.1292757442094143E-6</v>
      </c>
      <c r="X4">
        <f t="shared" si="3"/>
        <v>1.8462903509747787E-7</v>
      </c>
      <c r="Y4">
        <f t="shared" si="4"/>
        <v>1.4120497556817386E-7</v>
      </c>
      <c r="Z4" s="52">
        <f t="shared" si="5"/>
        <v>8.9070358838659642E-7</v>
      </c>
      <c r="AA4" s="61">
        <f t="shared" si="6"/>
        <v>-121.00533596068354</v>
      </c>
    </row>
    <row r="5" spans="11:47" x14ac:dyDescent="0.3">
      <c r="L5" t="s">
        <v>57</v>
      </c>
      <c r="M5">
        <v>11.967000000000001</v>
      </c>
      <c r="N5">
        <v>-110.78100000000001</v>
      </c>
      <c r="O5">
        <v>-121.42</v>
      </c>
      <c r="P5">
        <v>-139.69399999999999</v>
      </c>
      <c r="Q5">
        <v>-137.542</v>
      </c>
      <c r="T5" t="s">
        <v>57</v>
      </c>
      <c r="U5">
        <f t="shared" si="0"/>
        <v>3.9659752534086956</v>
      </c>
      <c r="V5">
        <f t="shared" si="1"/>
        <v>2.890347099702059E-6</v>
      </c>
      <c r="W5">
        <f t="shared" si="2"/>
        <v>8.4918047503631279E-7</v>
      </c>
      <c r="X5">
        <f t="shared" si="3"/>
        <v>1.0358574645826828E-7</v>
      </c>
      <c r="Y5">
        <f t="shared" si="4"/>
        <v>1.3270888490464961E-7</v>
      </c>
      <c r="Z5" s="52">
        <f t="shared" si="5"/>
        <v>7.6077375483853579E-7</v>
      </c>
      <c r="AA5" s="61">
        <f t="shared" si="6"/>
        <v>-122.37488956193347</v>
      </c>
      <c r="AN5">
        <f>AF5</f>
        <v>0</v>
      </c>
      <c r="AO5">
        <f>10^(AG5/20)</f>
        <v>1</v>
      </c>
      <c r="AP5">
        <f>10^(AH5/20)</f>
        <v>1</v>
      </c>
      <c r="AQ5">
        <f>10^(AI5/20)</f>
        <v>1</v>
      </c>
      <c r="AR5">
        <f>10^(AJ5/20)</f>
        <v>1</v>
      </c>
      <c r="AS5">
        <f>10^(AK5/20)</f>
        <v>1</v>
      </c>
      <c r="AT5" s="52">
        <f>SQRT(SUMSQ(AP5:AS5))/AO5</f>
        <v>2</v>
      </c>
      <c r="AU5" s="53">
        <f>20*LOG10(AT5)</f>
        <v>6.0205999132796242</v>
      </c>
    </row>
    <row r="6" spans="11:47" x14ac:dyDescent="0.3">
      <c r="L6" t="s">
        <v>58</v>
      </c>
      <c r="M6">
        <v>10.807</v>
      </c>
      <c r="N6">
        <v>-113.35700000000001</v>
      </c>
      <c r="O6">
        <v>-124.545</v>
      </c>
      <c r="P6">
        <v>-144.828</v>
      </c>
      <c r="Q6">
        <v>-138.49299999999999</v>
      </c>
      <c r="T6" t="s">
        <v>58</v>
      </c>
      <c r="U6">
        <f t="shared" si="0"/>
        <v>3.470163999686128</v>
      </c>
      <c r="V6">
        <f t="shared" si="1"/>
        <v>2.1485724366203377E-6</v>
      </c>
      <c r="W6">
        <f t="shared" si="2"/>
        <v>5.9258410754616907E-7</v>
      </c>
      <c r="X6">
        <f t="shared" si="3"/>
        <v>5.7358792484213251E-8</v>
      </c>
      <c r="Y6">
        <f t="shared" si="4"/>
        <v>1.1894604331255907E-7</v>
      </c>
      <c r="Z6" s="52">
        <f t="shared" si="5"/>
        <v>6.4339952474615781E-7</v>
      </c>
      <c r="AA6" s="61">
        <f t="shared" si="6"/>
        <v>-123.83038528460256</v>
      </c>
    </row>
    <row r="7" spans="11:47" x14ac:dyDescent="0.3">
      <c r="K7" t="s">
        <v>65</v>
      </c>
      <c r="L7" t="s">
        <v>55</v>
      </c>
      <c r="M7">
        <v>13.721</v>
      </c>
      <c r="N7">
        <v>-94.21</v>
      </c>
      <c r="O7">
        <v>-106.827</v>
      </c>
      <c r="P7">
        <v>-124.68</v>
      </c>
      <c r="Q7">
        <v>-125.685</v>
      </c>
      <c r="S7" t="str">
        <f>K7</f>
        <v>10kHz</v>
      </c>
      <c r="T7" t="str">
        <f>L7</f>
        <v>5 V RMS</v>
      </c>
      <c r="U7">
        <f t="shared" si="0"/>
        <v>4.8534437428174604</v>
      </c>
      <c r="V7">
        <f t="shared" si="1"/>
        <v>1.9476010499424211E-5</v>
      </c>
      <c r="W7">
        <f t="shared" si="2"/>
        <v>4.5566954167393872E-6</v>
      </c>
      <c r="X7">
        <f t="shared" si="3"/>
        <v>5.8344510427374361E-7</v>
      </c>
      <c r="Y7">
        <f t="shared" si="4"/>
        <v>5.1969674891465777E-7</v>
      </c>
      <c r="Z7" s="52">
        <f t="shared" si="5"/>
        <v>4.1243326234947078E-6</v>
      </c>
      <c r="AA7" s="61">
        <f t="shared" si="6"/>
        <v>-107.69292633080143</v>
      </c>
      <c r="AN7">
        <f>AF7</f>
        <v>0</v>
      </c>
      <c r="AO7">
        <f t="shared" ref="AO7:AS9" si="7">10^(AG7/20)</f>
        <v>1</v>
      </c>
      <c r="AP7">
        <f t="shared" si="7"/>
        <v>1</v>
      </c>
      <c r="AQ7">
        <f t="shared" si="7"/>
        <v>1</v>
      </c>
      <c r="AR7">
        <f t="shared" si="7"/>
        <v>1</v>
      </c>
      <c r="AS7">
        <f t="shared" si="7"/>
        <v>1</v>
      </c>
      <c r="AT7" s="52">
        <f>SQRT(SUMSQ(AP7:AS7))/AO7</f>
        <v>2</v>
      </c>
      <c r="AU7" s="53">
        <f>20*LOG10(AT7)</f>
        <v>6.0205999132796242</v>
      </c>
    </row>
    <row r="8" spans="11:47" x14ac:dyDescent="0.3">
      <c r="L8" t="s">
        <v>57</v>
      </c>
      <c r="M8">
        <v>11.782999999999999</v>
      </c>
      <c r="N8">
        <v>-98.436000000000007</v>
      </c>
      <c r="O8">
        <v>-111.937</v>
      </c>
      <c r="P8">
        <v>-136.084</v>
      </c>
      <c r="Q8">
        <v>-128.93</v>
      </c>
      <c r="T8" t="str">
        <f t="shared" ref="T8:T24" si="8">L8</f>
        <v>4 V RMS</v>
      </c>
      <c r="U8">
        <f t="shared" si="0"/>
        <v>3.8828445153205351</v>
      </c>
      <c r="V8">
        <f t="shared" si="1"/>
        <v>1.1972917776081642E-5</v>
      </c>
      <c r="W8">
        <f t="shared" si="2"/>
        <v>2.5301717359062706E-6</v>
      </c>
      <c r="X8">
        <f t="shared" si="3"/>
        <v>1.5696397920292951E-7</v>
      </c>
      <c r="Y8">
        <f t="shared" si="4"/>
        <v>3.5768440057647473E-7</v>
      </c>
      <c r="Z8" s="52">
        <f t="shared" si="5"/>
        <v>3.1532485982254955E-6</v>
      </c>
      <c r="AA8" s="61">
        <f t="shared" si="6"/>
        <v>-110.02483577323395</v>
      </c>
      <c r="AN8">
        <f>AF8</f>
        <v>0</v>
      </c>
      <c r="AO8">
        <f t="shared" si="7"/>
        <v>1</v>
      </c>
      <c r="AP8">
        <f t="shared" si="7"/>
        <v>1</v>
      </c>
      <c r="AQ8">
        <f t="shared" si="7"/>
        <v>1</v>
      </c>
      <c r="AR8">
        <f t="shared" si="7"/>
        <v>1</v>
      </c>
      <c r="AS8">
        <f t="shared" si="7"/>
        <v>1</v>
      </c>
      <c r="AT8" s="52">
        <f>SQRT(SUMSQ(AP8:AS8))/AO8</f>
        <v>2</v>
      </c>
      <c r="AU8" s="53">
        <f>20*LOG10(AT8)</f>
        <v>6.0205999132796242</v>
      </c>
    </row>
    <row r="9" spans="11:47" x14ac:dyDescent="0.3">
      <c r="L9" t="s">
        <v>59</v>
      </c>
      <c r="M9">
        <v>9.282</v>
      </c>
      <c r="N9">
        <v>-103.866</v>
      </c>
      <c r="O9">
        <v>-118.22799999999999</v>
      </c>
      <c r="P9">
        <v>-141.34</v>
      </c>
      <c r="Q9">
        <v>-131.733</v>
      </c>
      <c r="T9" t="str">
        <f t="shared" si="8"/>
        <v>3 V RMS</v>
      </c>
      <c r="U9">
        <f t="shared" si="0"/>
        <v>2.9113874126187542</v>
      </c>
      <c r="V9">
        <f t="shared" si="1"/>
        <v>6.4076679764943551E-6</v>
      </c>
      <c r="W9">
        <f t="shared" si="2"/>
        <v>1.2263092383087389E-6</v>
      </c>
      <c r="X9">
        <f t="shared" si="3"/>
        <v>8.5703784523036831E-8</v>
      </c>
      <c r="Y9">
        <f t="shared" si="4"/>
        <v>2.5902996090450119E-7</v>
      </c>
      <c r="Z9" s="52">
        <f t="shared" si="5"/>
        <v>2.2428007693129216E-6</v>
      </c>
      <c r="AA9" s="61">
        <f t="shared" si="6"/>
        <v>-112.98418607208529</v>
      </c>
      <c r="AN9">
        <f>AF9</f>
        <v>0</v>
      </c>
      <c r="AO9">
        <f t="shared" si="7"/>
        <v>1</v>
      </c>
      <c r="AP9">
        <f t="shared" si="7"/>
        <v>1</v>
      </c>
      <c r="AQ9">
        <f t="shared" si="7"/>
        <v>1</v>
      </c>
      <c r="AR9">
        <f t="shared" si="7"/>
        <v>1</v>
      </c>
      <c r="AS9">
        <f t="shared" si="7"/>
        <v>1</v>
      </c>
      <c r="AT9" s="52">
        <f>SQRT(SUMSQ(AP9:AS9))/AO9</f>
        <v>2</v>
      </c>
      <c r="AU9" s="53">
        <f>20*LOG10(AT9)</f>
        <v>6.0205999132796242</v>
      </c>
    </row>
    <row r="10" spans="11:47" x14ac:dyDescent="0.3">
      <c r="L10" t="s">
        <v>61</v>
      </c>
      <c r="M10">
        <v>5.76</v>
      </c>
      <c r="N10">
        <v>-110.932</v>
      </c>
      <c r="O10">
        <v>-123.096</v>
      </c>
      <c r="P10">
        <v>-133.85100000000003</v>
      </c>
      <c r="Q10">
        <v>-138.358</v>
      </c>
      <c r="T10" t="str">
        <f t="shared" si="8"/>
        <v>2 V RMS</v>
      </c>
      <c r="U10">
        <f t="shared" si="0"/>
        <v>1.9408858775927782</v>
      </c>
      <c r="V10">
        <f t="shared" si="1"/>
        <v>2.8405340525397976E-6</v>
      </c>
      <c r="W10">
        <f t="shared" si="2"/>
        <v>7.0016435937297378E-7</v>
      </c>
      <c r="X10">
        <f t="shared" si="3"/>
        <v>2.0297848187937312E-7</v>
      </c>
      <c r="Y10">
        <f t="shared" si="4"/>
        <v>1.2080919765409481E-7</v>
      </c>
      <c r="Z10" s="52">
        <f t="shared" si="5"/>
        <v>1.512234161433084E-6</v>
      </c>
      <c r="AA10" s="61">
        <f t="shared" si="6"/>
        <v>-116.40761910864876</v>
      </c>
    </row>
    <row r="11" spans="11:47" x14ac:dyDescent="0.3">
      <c r="L11" t="s">
        <v>63</v>
      </c>
      <c r="M11">
        <v>-0.27700000000000002</v>
      </c>
      <c r="N11">
        <v>-121.786</v>
      </c>
      <c r="O11">
        <v>-130.88900000000001</v>
      </c>
      <c r="P11">
        <v>-144.38200000000001</v>
      </c>
      <c r="Q11">
        <v>-148.161</v>
      </c>
      <c r="T11" t="str">
        <f t="shared" si="8"/>
        <v>1 V RMS</v>
      </c>
      <c r="U11">
        <f t="shared" si="0"/>
        <v>0.9686123453457981</v>
      </c>
      <c r="V11">
        <f t="shared" si="1"/>
        <v>8.1414170057077467E-7</v>
      </c>
      <c r="W11">
        <f t="shared" si="2"/>
        <v>2.854631146424785E-7</v>
      </c>
      <c r="X11">
        <f t="shared" si="3"/>
        <v>6.0380958107442605E-8</v>
      </c>
      <c r="Y11">
        <f t="shared" si="4"/>
        <v>3.907959011615311E-8</v>
      </c>
      <c r="Z11" s="52">
        <f t="shared" si="5"/>
        <v>8.93784098491615E-7</v>
      </c>
      <c r="AA11" s="61">
        <f t="shared" si="6"/>
        <v>-120.97534752470088</v>
      </c>
    </row>
    <row r="12" spans="11:47" x14ac:dyDescent="0.3">
      <c r="L12" t="s">
        <v>62</v>
      </c>
      <c r="M12">
        <v>3.258</v>
      </c>
      <c r="N12">
        <v>-115.98399999999999</v>
      </c>
      <c r="O12">
        <v>-127.203</v>
      </c>
      <c r="P12">
        <v>-137.18299999999999</v>
      </c>
      <c r="Q12">
        <v>-144.482</v>
      </c>
      <c r="T12" t="str">
        <f t="shared" si="8"/>
        <v>1.5 V RMS</v>
      </c>
      <c r="U12">
        <f t="shared" si="0"/>
        <v>1.4551239873242425</v>
      </c>
      <c r="V12">
        <f t="shared" si="1"/>
        <v>1.587815364205614E-6</v>
      </c>
      <c r="W12">
        <f t="shared" si="2"/>
        <v>4.3636509104652028E-7</v>
      </c>
      <c r="X12">
        <f t="shared" si="3"/>
        <v>1.3830885945890613E-7</v>
      </c>
      <c r="Y12">
        <f t="shared" si="4"/>
        <v>5.9689782995463365E-8</v>
      </c>
      <c r="Z12" s="52">
        <f t="shared" si="5"/>
        <v>1.1363712792283304E-6</v>
      </c>
      <c r="AA12" s="61">
        <f t="shared" si="6"/>
        <v>-118.88959502433009</v>
      </c>
    </row>
    <row r="13" spans="11:47" x14ac:dyDescent="0.3">
      <c r="L13" t="s">
        <v>66</v>
      </c>
      <c r="M13">
        <v>1.321</v>
      </c>
      <c r="N13">
        <v>-119.077</v>
      </c>
      <c r="O13">
        <v>-128.26900000000001</v>
      </c>
      <c r="P13">
        <v>-139.91999999999999</v>
      </c>
      <c r="Q13">
        <v>-147.22200000000001</v>
      </c>
      <c r="T13" t="str">
        <f t="shared" si="8"/>
        <v>1.2 V RMS</v>
      </c>
      <c r="U13">
        <f t="shared" si="0"/>
        <v>1.1642600620879688</v>
      </c>
      <c r="V13">
        <f t="shared" si="1"/>
        <v>1.1121157721353651E-6</v>
      </c>
      <c r="W13">
        <f t="shared" si="2"/>
        <v>3.8596684511207749E-7</v>
      </c>
      <c r="X13">
        <f t="shared" si="3"/>
        <v>1.009252886076683E-7</v>
      </c>
      <c r="Y13">
        <f t="shared" si="4"/>
        <v>4.3541160491506191E-8</v>
      </c>
      <c r="Z13" s="52">
        <f t="shared" si="5"/>
        <v>1.0155021594531139E-6</v>
      </c>
      <c r="AA13" s="61">
        <f t="shared" si="6"/>
        <v>-119.86638297472412</v>
      </c>
    </row>
    <row r="14" spans="11:47" x14ac:dyDescent="0.3">
      <c r="L14" t="s">
        <v>67</v>
      </c>
      <c r="M14">
        <v>0.56100000000000005</v>
      </c>
      <c r="N14">
        <v>-120.396</v>
      </c>
      <c r="O14">
        <v>-129.28200000000001</v>
      </c>
      <c r="P14">
        <v>-141.99799999999999</v>
      </c>
      <c r="Q14">
        <v>-147.42099999999999</v>
      </c>
      <c r="T14" t="str">
        <f t="shared" si="8"/>
        <v>1.1 V RMS</v>
      </c>
      <c r="U14">
        <f t="shared" si="0"/>
        <v>1.0667189247157085</v>
      </c>
      <c r="V14">
        <f t="shared" si="1"/>
        <v>9.5543247764094788E-7</v>
      </c>
      <c r="W14">
        <f t="shared" si="2"/>
        <v>3.4347884986577991E-7</v>
      </c>
      <c r="X14">
        <f t="shared" si="3"/>
        <v>7.9451115661835554E-8</v>
      </c>
      <c r="Y14">
        <f t="shared" si="4"/>
        <v>4.255494171261497E-8</v>
      </c>
      <c r="Z14" s="52">
        <f t="shared" si="5"/>
        <v>9.5553767100001076E-7</v>
      </c>
      <c r="AA14" s="61">
        <f t="shared" si="6"/>
        <v>-120.39504373398083</v>
      </c>
    </row>
    <row r="15" spans="11:47" x14ac:dyDescent="0.3">
      <c r="K15" t="s">
        <v>68</v>
      </c>
      <c r="L15" t="s">
        <v>67</v>
      </c>
      <c r="M15">
        <v>0.73699999999999999</v>
      </c>
      <c r="N15">
        <v>-94.974000000000004</v>
      </c>
      <c r="O15">
        <v>-105.46299999999999</v>
      </c>
      <c r="P15">
        <v>-118.012</v>
      </c>
      <c r="Q15">
        <v>-124.83</v>
      </c>
      <c r="S15" t="str">
        <f>K15</f>
        <v>50 kHz</v>
      </c>
      <c r="T15" t="str">
        <f t="shared" si="8"/>
        <v>1.1 V RMS</v>
      </c>
      <c r="U15">
        <f t="shared" si="0"/>
        <v>1.0885540551466326</v>
      </c>
      <c r="V15">
        <f t="shared" si="1"/>
        <v>1.783610416429597E-5</v>
      </c>
      <c r="W15">
        <f t="shared" si="2"/>
        <v>5.3315071994845275E-6</v>
      </c>
      <c r="X15">
        <f t="shared" si="3"/>
        <v>1.2571873429542053E-6</v>
      </c>
      <c r="Y15">
        <f t="shared" si="4"/>
        <v>5.7345586654596344E-7</v>
      </c>
      <c r="Z15" s="52">
        <f t="shared" si="5"/>
        <v>1.7148536401287905E-5</v>
      </c>
      <c r="AA15" s="61">
        <f t="shared" si="6"/>
        <v>-95.315458806848369</v>
      </c>
    </row>
    <row r="16" spans="11:47" x14ac:dyDescent="0.3">
      <c r="L16" t="s">
        <v>63</v>
      </c>
      <c r="M16">
        <v>-0.10900000000000001</v>
      </c>
      <c r="N16">
        <v>-96.745000000000005</v>
      </c>
      <c r="O16">
        <v>-107.00700000000001</v>
      </c>
      <c r="P16">
        <v>-119.98099999999999</v>
      </c>
      <c r="Q16">
        <v>-125.76</v>
      </c>
      <c r="T16" t="str">
        <f t="shared" si="8"/>
        <v>1 V RMS</v>
      </c>
      <c r="U16">
        <f t="shared" si="0"/>
        <v>0.98752932271726124</v>
      </c>
      <c r="V16">
        <f t="shared" si="1"/>
        <v>1.4546214920868394E-5</v>
      </c>
      <c r="W16">
        <f t="shared" si="2"/>
        <v>4.4632375272539432E-6</v>
      </c>
      <c r="X16">
        <f t="shared" si="3"/>
        <v>1.0021898500653038E-6</v>
      </c>
      <c r="Y16">
        <f t="shared" si="4"/>
        <v>5.1522864458175524E-7</v>
      </c>
      <c r="Z16" s="52">
        <f t="shared" si="5"/>
        <v>1.5449888630915482E-5</v>
      </c>
      <c r="AA16" s="61">
        <f t="shared" si="6"/>
        <v>-96.221492935984472</v>
      </c>
    </row>
    <row r="17" spans="11:27" x14ac:dyDescent="0.3">
      <c r="L17" t="s">
        <v>69</v>
      </c>
      <c r="M17">
        <v>-6.0439999999999996</v>
      </c>
      <c r="N17">
        <v>-110.43</v>
      </c>
      <c r="O17">
        <v>-118.98500000000001</v>
      </c>
      <c r="P17">
        <v>-131.81100000000001</v>
      </c>
      <c r="Q17">
        <v>-146.65899999999999</v>
      </c>
      <c r="T17" t="str">
        <f t="shared" si="8"/>
        <v>0.5 V RMS</v>
      </c>
      <c r="U17">
        <f t="shared" si="0"/>
        <v>0.49865479555579673</v>
      </c>
      <c r="V17">
        <f t="shared" si="1"/>
        <v>3.0095391688731969E-6</v>
      </c>
      <c r="W17">
        <f t="shared" si="2"/>
        <v>1.123957785598439E-6</v>
      </c>
      <c r="X17">
        <f t="shared" si="3"/>
        <v>2.5671426378735819E-7</v>
      </c>
      <c r="Y17">
        <f t="shared" si="4"/>
        <v>4.6456875759879299E-8</v>
      </c>
      <c r="Z17" s="52">
        <f t="shared" si="5"/>
        <v>6.4636811478576403E-6</v>
      </c>
      <c r="AA17" s="61">
        <f t="shared" si="6"/>
        <v>-103.79040150735939</v>
      </c>
    </row>
    <row r="18" spans="11:27" x14ac:dyDescent="0.3">
      <c r="K18" t="s">
        <v>70</v>
      </c>
      <c r="L18" t="s">
        <v>63</v>
      </c>
      <c r="M18">
        <v>-0.01</v>
      </c>
      <c r="N18">
        <v>-111.72900000000001</v>
      </c>
      <c r="O18">
        <v>-121.55800000000001</v>
      </c>
      <c r="P18">
        <v>-133.91900000000001</v>
      </c>
      <c r="S18" t="str">
        <f>K18</f>
        <v>20kHz</v>
      </c>
      <c r="T18" t="str">
        <f t="shared" si="8"/>
        <v>1 V RMS</v>
      </c>
      <c r="U18">
        <f t="shared" ref="U18:X24" si="9">10^(M18/20)</f>
        <v>0.99884936993650508</v>
      </c>
      <c r="V18">
        <f t="shared" si="9"/>
        <v>2.591492760810506E-6</v>
      </c>
      <c r="W18">
        <f t="shared" si="9"/>
        <v>8.3579544508970047E-7</v>
      </c>
      <c r="X18">
        <f t="shared" si="9"/>
        <v>2.0139561017805514E-7</v>
      </c>
      <c r="Z18" s="52">
        <f>SQRT(SUMSQ(V18:X18))/U18</f>
        <v>2.7335205101382983E-6</v>
      </c>
      <c r="AA18" s="61">
        <f t="shared" si="6"/>
        <v>-111.2655532632775</v>
      </c>
    </row>
    <row r="19" spans="11:27" x14ac:dyDescent="0.3">
      <c r="L19" t="s">
        <v>71</v>
      </c>
      <c r="M19">
        <v>-1.9510000000000001</v>
      </c>
      <c r="N19">
        <v>-115.68</v>
      </c>
      <c r="O19">
        <v>-125.646</v>
      </c>
      <c r="P19">
        <v>-135.846</v>
      </c>
      <c r="T19" t="str">
        <f t="shared" si="8"/>
        <v>0.8 V RMS</v>
      </c>
      <c r="U19">
        <f t="shared" si="9"/>
        <v>0.79882196859526811</v>
      </c>
      <c r="V19">
        <f t="shared" si="9"/>
        <v>1.6443717232149273E-6</v>
      </c>
      <c r="W19">
        <f t="shared" si="9"/>
        <v>5.2203545510330881E-7</v>
      </c>
      <c r="X19">
        <f t="shared" si="9"/>
        <v>1.6132437825159109E-7</v>
      </c>
      <c r="Z19" s="52">
        <f>SQRT(SUMSQ(V19:X19))/U19</f>
        <v>2.1691613868972148E-6</v>
      </c>
      <c r="AA19" s="61">
        <f t="shared" si="6"/>
        <v>-113.2741627003201</v>
      </c>
    </row>
    <row r="20" spans="11:27" x14ac:dyDescent="0.3">
      <c r="L20" t="s">
        <v>72</v>
      </c>
      <c r="M20">
        <v>-10.465000000000002</v>
      </c>
      <c r="N20">
        <v>-132.39500000000001</v>
      </c>
      <c r="O20">
        <v>-156.11000000000001</v>
      </c>
      <c r="P20">
        <v>-141.76300000000001</v>
      </c>
      <c r="T20" t="str">
        <f t="shared" si="8"/>
        <v>0.3 V RMS</v>
      </c>
      <c r="U20">
        <f t="shared" si="9"/>
        <v>0.29974365590795832</v>
      </c>
      <c r="V20">
        <f t="shared" si="9"/>
        <v>2.4002141957747277E-7</v>
      </c>
      <c r="W20">
        <f t="shared" si="9"/>
        <v>1.5649483192248664E-8</v>
      </c>
      <c r="X20">
        <f t="shared" si="9"/>
        <v>8.1630038249982017E-8</v>
      </c>
      <c r="Z20" s="52">
        <f>SQRT(SUMSQ(V20:X20))/U20</f>
        <v>8.4740815721487222E-7</v>
      </c>
      <c r="AA20" s="61">
        <f t="shared" si="6"/>
        <v>-121.43814719526901</v>
      </c>
    </row>
    <row r="21" spans="11:27" x14ac:dyDescent="0.3">
      <c r="L21" t="s">
        <v>73</v>
      </c>
      <c r="M21">
        <v>-7.9509999999999987</v>
      </c>
      <c r="N21">
        <v>-127.298</v>
      </c>
      <c r="O21">
        <v>-136.779</v>
      </c>
      <c r="P21">
        <v>-151.92699999999999</v>
      </c>
      <c r="Q21">
        <v>-128.01300000000001</v>
      </c>
      <c r="T21" t="str">
        <f t="shared" si="8"/>
        <v>0.4 V RMS</v>
      </c>
      <c r="U21">
        <f t="shared" si="9"/>
        <v>0.40035937260095417</v>
      </c>
      <c r="V21">
        <f t="shared" si="9"/>
        <v>4.3161844920735741E-7</v>
      </c>
      <c r="W21">
        <f t="shared" si="9"/>
        <v>1.4489386591703364E-7</v>
      </c>
      <c r="X21">
        <f t="shared" si="9"/>
        <v>2.5330863812499662E-8</v>
      </c>
      <c r="Y21">
        <f>10^(Q21/20)</f>
        <v>3.9751177705788512E-7</v>
      </c>
      <c r="Z21" s="52">
        <f>SQRT(SUMSQ(V21:Y21))/U21</f>
        <v>1.510979222908093E-6</v>
      </c>
      <c r="AA21" s="61">
        <f t="shared" si="6"/>
        <v>-116.41483014986284</v>
      </c>
    </row>
    <row r="22" spans="11:27" x14ac:dyDescent="0.3">
      <c r="K22" t="s">
        <v>74</v>
      </c>
      <c r="L22" t="s">
        <v>72</v>
      </c>
      <c r="M22">
        <v>-10.45</v>
      </c>
      <c r="N22">
        <v>-131.56</v>
      </c>
      <c r="O22">
        <v>-142.16800000000001</v>
      </c>
      <c r="P22">
        <v>-156.76599999999999</v>
      </c>
      <c r="Q22">
        <v>-129.54499999999999</v>
      </c>
      <c r="S22" t="str">
        <f>K22</f>
        <v>DC - 250 k</v>
      </c>
      <c r="T22" t="str">
        <f t="shared" si="8"/>
        <v>0.3 V RMS</v>
      </c>
      <c r="U22">
        <f t="shared" si="9"/>
        <v>0.30026174208612672</v>
      </c>
      <c r="V22">
        <f t="shared" si="9"/>
        <v>2.6424087573219427E-7</v>
      </c>
      <c r="W22">
        <f t="shared" si="9"/>
        <v>7.7911219111309118E-8</v>
      </c>
      <c r="X22">
        <f t="shared" si="9"/>
        <v>1.4511088807914284E-8</v>
      </c>
      <c r="Y22">
        <f>10^(Q22/20)</f>
        <v>3.3323453232425321E-7</v>
      </c>
      <c r="Z22" s="52">
        <f>SQRT(SUMSQ(V22:Y22))/U22</f>
        <v>1.4407678703633915E-6</v>
      </c>
      <c r="AA22" s="61">
        <f t="shared" si="6"/>
        <v>-116.82811970004295</v>
      </c>
    </row>
    <row r="23" spans="11:27" x14ac:dyDescent="0.3">
      <c r="K23" t="s">
        <v>75</v>
      </c>
      <c r="L23" t="s">
        <v>72</v>
      </c>
      <c r="M23">
        <v>-10.308999999999999</v>
      </c>
      <c r="N23">
        <v>-106.44</v>
      </c>
      <c r="O23">
        <v>-118.511</v>
      </c>
      <c r="P23">
        <v>-132.46199999999999</v>
      </c>
      <c r="Q23">
        <v>-135.119</v>
      </c>
      <c r="S23" t="str">
        <f>K23</f>
        <v>100 kHz</v>
      </c>
      <c r="T23" t="str">
        <f t="shared" si="8"/>
        <v>0.3 V RMS</v>
      </c>
      <c r="U23">
        <f t="shared" si="9"/>
        <v>0.30517573554663918</v>
      </c>
      <c r="V23">
        <f t="shared" si="9"/>
        <v>4.7643098680541467E-6</v>
      </c>
      <c r="W23">
        <f t="shared" si="9"/>
        <v>1.1869980349775811E-6</v>
      </c>
      <c r="X23">
        <f t="shared" si="9"/>
        <v>2.3817709831782308E-7</v>
      </c>
      <c r="Y23">
        <f>10^(Q23/20)</f>
        <v>1.7540824364207439E-7</v>
      </c>
      <c r="Z23" s="52">
        <f>SQRT(SUMSQ(V23:Y23))/U23</f>
        <v>1.6118098059101722E-5</v>
      </c>
      <c r="AA23" s="61">
        <f t="shared" si="6"/>
        <v>-95.853724127999953</v>
      </c>
    </row>
    <row r="24" spans="11:27" x14ac:dyDescent="0.3">
      <c r="K24" t="s">
        <v>76</v>
      </c>
      <c r="L24" t="s">
        <v>63</v>
      </c>
      <c r="M24">
        <v>0.25700000000000001</v>
      </c>
      <c r="N24">
        <v>-84.793000000000006</v>
      </c>
      <c r="O24">
        <v>-96.435000000000002</v>
      </c>
      <c r="P24">
        <v>-110.267</v>
      </c>
      <c r="Q24">
        <v>-113.241</v>
      </c>
      <c r="S24" t="str">
        <f>K24</f>
        <v>DC-500k</v>
      </c>
      <c r="T24" t="str">
        <f t="shared" si="8"/>
        <v>1 V RMS</v>
      </c>
      <c r="U24">
        <f t="shared" si="9"/>
        <v>1.0300302991351726</v>
      </c>
      <c r="V24">
        <f t="shared" si="9"/>
        <v>5.7590387405402506E-5</v>
      </c>
      <c r="W24">
        <f t="shared" si="9"/>
        <v>1.5074745885987076E-5</v>
      </c>
      <c r="X24">
        <f t="shared" si="9"/>
        <v>3.0665496452633546E-6</v>
      </c>
      <c r="Y24">
        <f>10^(Q24/20)</f>
        <v>2.177459068682161E-6</v>
      </c>
      <c r="Z24" s="52">
        <f>SQRT(SUMSQ(V24:Y24))/U24</f>
        <v>5.7910293148270604E-5</v>
      </c>
      <c r="AA24" s="61">
        <f t="shared" si="6"/>
        <v>-84.744884732292945</v>
      </c>
    </row>
  </sheetData>
  <pageMargins left="0.70069400000000004" right="0.70069400000000004" top="0.75208299999999995" bottom="0.75208299999999995" header="0.3" footer="0.3"/>
  <pageSetup paperSize="9" fitToWidth="0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9"/>
  <sheetViews>
    <sheetView topLeftCell="A13" workbookViewId="0">
      <selection activeCell="M31" sqref="M31"/>
    </sheetView>
  </sheetViews>
  <sheetFormatPr baseColWidth="10" defaultColWidth="8.88671875" defaultRowHeight="14.4" x14ac:dyDescent="0.3"/>
  <sheetData>
    <row r="1" spans="1:12" x14ac:dyDescent="0.3">
      <c r="A1" t="s">
        <v>77</v>
      </c>
      <c r="G1" t="s">
        <v>77</v>
      </c>
      <c r="L1" s="59" t="s">
        <v>11</v>
      </c>
    </row>
    <row r="2" spans="1:12" x14ac:dyDescent="0.3">
      <c r="A2" t="s">
        <v>19</v>
      </c>
      <c r="C2" t="s">
        <v>78</v>
      </c>
      <c r="G2" t="s">
        <v>23</v>
      </c>
      <c r="I2" t="s">
        <v>24</v>
      </c>
    </row>
    <row r="3" spans="1:12" x14ac:dyDescent="0.3">
      <c r="A3" t="s">
        <v>25</v>
      </c>
      <c r="B3" t="s">
        <v>26</v>
      </c>
      <c r="C3" t="s">
        <v>25</v>
      </c>
      <c r="D3" t="s">
        <v>26</v>
      </c>
      <c r="G3" t="s">
        <v>25</v>
      </c>
      <c r="H3" t="s">
        <v>26</v>
      </c>
      <c r="I3" t="s">
        <v>25</v>
      </c>
      <c r="J3" t="s">
        <v>26</v>
      </c>
    </row>
    <row r="4" spans="1:12" x14ac:dyDescent="0.3">
      <c r="A4" t="s">
        <v>27</v>
      </c>
      <c r="B4" t="s">
        <v>79</v>
      </c>
      <c r="C4" t="s">
        <v>27</v>
      </c>
      <c r="D4" t="s">
        <v>79</v>
      </c>
      <c r="G4" t="s">
        <v>27</v>
      </c>
      <c r="H4" t="s">
        <v>79</v>
      </c>
      <c r="I4" t="s">
        <v>27</v>
      </c>
      <c r="J4" t="s">
        <v>79</v>
      </c>
    </row>
    <row r="5" spans="1:12" x14ac:dyDescent="0.3">
      <c r="A5">
        <v>20000</v>
      </c>
      <c r="B5">
        <v>-97.857372312565602</v>
      </c>
      <c r="C5">
        <v>20000</v>
      </c>
      <c r="D5">
        <v>-71.437777018591305</v>
      </c>
      <c r="G5">
        <v>20000</v>
      </c>
      <c r="H5">
        <v>-71.392024097365194</v>
      </c>
      <c r="I5">
        <v>20000</v>
      </c>
      <c r="J5">
        <v>-97.725887344285894</v>
      </c>
    </row>
    <row r="6" spans="1:12" x14ac:dyDescent="0.3">
      <c r="A6">
        <v>19725.043589738092</v>
      </c>
      <c r="B6">
        <v>-97.730103732304798</v>
      </c>
      <c r="C6">
        <v>19725.043589738092</v>
      </c>
      <c r="D6">
        <v>-71.663389451151403</v>
      </c>
      <c r="G6">
        <v>19725.043589738092</v>
      </c>
      <c r="H6">
        <v>-71.607092108633395</v>
      </c>
      <c r="I6">
        <v>19725.043589738092</v>
      </c>
      <c r="J6">
        <v>-97.788501659900604</v>
      </c>
    </row>
    <row r="7" spans="1:12" x14ac:dyDescent="0.3">
      <c r="A7">
        <v>19453.8672308528</v>
      </c>
      <c r="B7">
        <v>-97.909769292842682</v>
      </c>
      <c r="C7">
        <v>19453.8672308528</v>
      </c>
      <c r="D7">
        <v>-71.871952118747203</v>
      </c>
      <c r="G7">
        <v>19453.8672308528</v>
      </c>
      <c r="H7">
        <v>-71.827264583220597</v>
      </c>
      <c r="I7">
        <v>19453.8672308528</v>
      </c>
      <c r="J7">
        <v>-97.873512271018498</v>
      </c>
    </row>
    <row r="8" spans="1:12" x14ac:dyDescent="0.3">
      <c r="A8">
        <v>19186.418955876998</v>
      </c>
      <c r="B8">
        <v>-97.774459540141592</v>
      </c>
      <c r="C8">
        <v>19186.418955876998</v>
      </c>
      <c r="D8">
        <v>-72.082695611611001</v>
      </c>
      <c r="G8">
        <v>19186.418955876998</v>
      </c>
      <c r="H8">
        <v>-72.031834851100299</v>
      </c>
      <c r="I8">
        <v>19186.418955876998</v>
      </c>
      <c r="J8">
        <v>-97.729463674785293</v>
      </c>
    </row>
    <row r="9" spans="1:12" x14ac:dyDescent="0.3">
      <c r="A9">
        <v>18922.647511782001</v>
      </c>
      <c r="B9">
        <v>-97.810139931222253</v>
      </c>
      <c r="C9">
        <v>18922.647511782001</v>
      </c>
      <c r="D9">
        <v>-72.290529473483105</v>
      </c>
      <c r="G9">
        <v>18922.647511782001</v>
      </c>
      <c r="H9">
        <v>-72.243703761448913</v>
      </c>
      <c r="I9">
        <v>18922.647511782001</v>
      </c>
      <c r="J9">
        <v>-97.811662714640789</v>
      </c>
    </row>
    <row r="10" spans="1:12" x14ac:dyDescent="0.3">
      <c r="A10">
        <v>18662.502350156999</v>
      </c>
      <c r="B10">
        <v>-97.674605826561503</v>
      </c>
      <c r="C10">
        <v>18662.502350156999</v>
      </c>
      <c r="D10">
        <v>-72.501504609621605</v>
      </c>
      <c r="G10">
        <v>18662.502350156999</v>
      </c>
      <c r="H10">
        <v>-72.456121404735484</v>
      </c>
      <c r="I10">
        <v>18662.502350156999</v>
      </c>
      <c r="J10">
        <v>-97.780608382408403</v>
      </c>
    </row>
    <row r="11" spans="1:12" x14ac:dyDescent="0.3">
      <c r="A11">
        <v>18405.933617521292</v>
      </c>
      <c r="B11">
        <v>-97.812473011415804</v>
      </c>
      <c r="C11">
        <v>18405.933617521292</v>
      </c>
      <c r="D11">
        <v>-72.695132356331499</v>
      </c>
      <c r="G11">
        <v>18405.933617521292</v>
      </c>
      <c r="H11">
        <v>-72.654781305738496</v>
      </c>
      <c r="I11">
        <v>18405.933617521292</v>
      </c>
      <c r="J11">
        <v>-97.792163315676802</v>
      </c>
    </row>
    <row r="12" spans="1:12" x14ac:dyDescent="0.3">
      <c r="A12">
        <v>18152.892145771199</v>
      </c>
      <c r="B12">
        <v>-97.812463702100885</v>
      </c>
      <c r="C12">
        <v>18152.892145771199</v>
      </c>
      <c r="D12">
        <v>-72.913256262424781</v>
      </c>
      <c r="G12">
        <v>18152.892145771199</v>
      </c>
      <c r="H12">
        <v>-72.871221311778299</v>
      </c>
      <c r="I12">
        <v>18152.892145771199</v>
      </c>
      <c r="J12">
        <v>-97.863226011885999</v>
      </c>
    </row>
    <row r="13" spans="1:12" x14ac:dyDescent="0.3">
      <c r="A13">
        <v>17903.329442757</v>
      </c>
      <c r="B13">
        <v>-97.792361184479901</v>
      </c>
      <c r="C13">
        <v>17903.329442757</v>
      </c>
      <c r="D13">
        <v>-73.124811640204186</v>
      </c>
      <c r="G13">
        <v>17903.329442757</v>
      </c>
      <c r="H13">
        <v>-73.0892156111491</v>
      </c>
      <c r="I13">
        <v>17903.329442757</v>
      </c>
      <c r="J13">
        <v>-97.796620732557599</v>
      </c>
    </row>
    <row r="14" spans="1:12" x14ac:dyDescent="0.3">
      <c r="A14">
        <v>17657.1976829907</v>
      </c>
      <c r="B14">
        <v>-97.752737200122894</v>
      </c>
      <c r="C14">
        <v>17657.1976829907</v>
      </c>
      <c r="D14">
        <v>-73.344140045369286</v>
      </c>
      <c r="G14">
        <v>17657.1976829907</v>
      </c>
      <c r="H14">
        <v>-73.301183423970613</v>
      </c>
      <c r="I14">
        <v>17657.1976829907</v>
      </c>
      <c r="J14">
        <v>-97.813256556183504</v>
      </c>
    </row>
    <row r="15" spans="1:12" x14ac:dyDescent="0.3">
      <c r="A15">
        <v>17414.449698480301</v>
      </c>
      <c r="B15">
        <v>-97.832614323284602</v>
      </c>
      <c r="C15">
        <v>17414.449698480301</v>
      </c>
      <c r="D15">
        <v>-73.562711239448603</v>
      </c>
      <c r="G15">
        <v>17414.449698480301</v>
      </c>
      <c r="H15">
        <v>-73.521502957714205</v>
      </c>
      <c r="I15">
        <v>17414.449698480301</v>
      </c>
      <c r="J15">
        <v>-97.721896797902204</v>
      </c>
    </row>
    <row r="16" spans="1:12" x14ac:dyDescent="0.3">
      <c r="A16">
        <v>17175.038969690795</v>
      </c>
      <c r="B16">
        <v>-97.889348240412602</v>
      </c>
      <c r="C16">
        <v>17175.038969690795</v>
      </c>
      <c r="D16">
        <v>-73.776112810547204</v>
      </c>
      <c r="G16">
        <v>17175.038969690795</v>
      </c>
      <c r="H16">
        <v>-73.75314536003458</v>
      </c>
      <c r="I16">
        <v>17175.038969690795</v>
      </c>
      <c r="J16">
        <v>-97.839537066797419</v>
      </c>
    </row>
    <row r="17" spans="1:10" x14ac:dyDescent="0.3">
      <c r="A17">
        <v>16938.919616629595</v>
      </c>
      <c r="B17">
        <v>-97.841538722658584</v>
      </c>
      <c r="C17">
        <v>16938.919616629595</v>
      </c>
      <c r="D17">
        <v>-74.005271669605605</v>
      </c>
      <c r="G17">
        <v>16938.919616629595</v>
      </c>
      <c r="H17">
        <v>-73.964251124152582</v>
      </c>
      <c r="I17">
        <v>16938.919616629595</v>
      </c>
      <c r="J17">
        <v>-97.831787146493085</v>
      </c>
    </row>
    <row r="18" spans="1:10" x14ac:dyDescent="0.3">
      <c r="A18">
        <v>16706.046390054002</v>
      </c>
      <c r="B18">
        <v>-97.831815816881289</v>
      </c>
      <c r="C18">
        <v>16706.046390054002</v>
      </c>
      <c r="D18">
        <v>-74.228485449943506</v>
      </c>
      <c r="G18">
        <v>16706.046390054002</v>
      </c>
      <c r="H18">
        <v>-74.186301331598784</v>
      </c>
      <c r="I18">
        <v>16706.046390054002</v>
      </c>
      <c r="J18">
        <v>-97.813024809317611</v>
      </c>
    </row>
    <row r="19" spans="1:10" x14ac:dyDescent="0.3">
      <c r="A19">
        <v>16476.374662799601</v>
      </c>
      <c r="B19">
        <v>-97.924306096592403</v>
      </c>
      <c r="C19">
        <v>16476.374662799601</v>
      </c>
      <c r="D19">
        <v>-74.439896680489312</v>
      </c>
      <c r="G19">
        <v>16476.374662799601</v>
      </c>
      <c r="H19">
        <v>-74.416729242005204</v>
      </c>
      <c r="I19">
        <v>16476.374662799601</v>
      </c>
      <c r="J19">
        <v>-97.910274617507298</v>
      </c>
    </row>
    <row r="20" spans="1:10" x14ac:dyDescent="0.3">
      <c r="A20">
        <v>16249.860421228499</v>
      </c>
      <c r="B20">
        <v>-97.858256879884493</v>
      </c>
      <c r="C20">
        <v>16249.860421228499</v>
      </c>
      <c r="D20">
        <v>-74.669278967153105</v>
      </c>
      <c r="G20">
        <v>16249.860421228499</v>
      </c>
      <c r="H20">
        <v>-74.632535214019697</v>
      </c>
      <c r="I20">
        <v>16249.860421228499</v>
      </c>
      <c r="J20">
        <v>-97.821066559302892</v>
      </c>
    </row>
    <row r="21" spans="1:10" x14ac:dyDescent="0.3">
      <c r="A21">
        <v>16026.460256794202</v>
      </c>
      <c r="B21">
        <v>-97.741172377968198</v>
      </c>
      <c r="C21">
        <v>16026.460256794202</v>
      </c>
      <c r="D21">
        <v>-74.870491560979005</v>
      </c>
      <c r="G21">
        <v>16026.460256794202</v>
      </c>
      <c r="H21">
        <v>-74.846749610226581</v>
      </c>
      <c r="I21">
        <v>16026.460256794202</v>
      </c>
      <c r="J21">
        <v>-97.769022712686009</v>
      </c>
    </row>
    <row r="22" spans="1:10" x14ac:dyDescent="0.3">
      <c r="A22">
        <v>15806.131357723101</v>
      </c>
      <c r="B22">
        <v>-97.745485579039482</v>
      </c>
      <c r="C22">
        <v>15806.131357723101</v>
      </c>
      <c r="D22">
        <v>-75.097813790286807</v>
      </c>
      <c r="G22">
        <v>15806.131357723101</v>
      </c>
      <c r="H22">
        <v>-75.064558332596093</v>
      </c>
      <c r="I22">
        <v>15806.131357723101</v>
      </c>
      <c r="J22">
        <v>-97.759924960020612</v>
      </c>
    </row>
    <row r="23" spans="1:10" x14ac:dyDescent="0.3">
      <c r="A23">
        <v>15588.8315008103</v>
      </c>
      <c r="B23">
        <v>-97.861388407060403</v>
      </c>
      <c r="C23">
        <v>15588.8315008103</v>
      </c>
      <c r="D23">
        <v>-75.32059852041678</v>
      </c>
      <c r="G23">
        <v>15588.8315008103</v>
      </c>
      <c r="H23">
        <v>-75.285967903555104</v>
      </c>
      <c r="I23">
        <v>15588.8315008103</v>
      </c>
      <c r="J23">
        <v>-97.827331887892882</v>
      </c>
    </row>
    <row r="24" spans="1:10" x14ac:dyDescent="0.3">
      <c r="A24">
        <v>15374.519043327802</v>
      </c>
      <c r="B24">
        <v>-97.804152419895104</v>
      </c>
      <c r="C24">
        <v>15374.519043327802</v>
      </c>
      <c r="D24">
        <v>-75.543577168785404</v>
      </c>
      <c r="G24">
        <v>15374.519043327802</v>
      </c>
      <c r="H24">
        <v>-75.492567615863805</v>
      </c>
      <c r="I24">
        <v>15374.519043327802</v>
      </c>
      <c r="J24">
        <v>-97.820035786275483</v>
      </c>
    </row>
    <row r="25" spans="1:10" x14ac:dyDescent="0.3">
      <c r="A25">
        <v>15163.152915044602</v>
      </c>
      <c r="B25">
        <v>-97.946647579351506</v>
      </c>
      <c r="C25">
        <v>15163.152915044602</v>
      </c>
      <c r="D25">
        <v>-75.751784548315001</v>
      </c>
      <c r="G25">
        <v>15163.152915044602</v>
      </c>
      <c r="H25">
        <v>-75.708747415703982</v>
      </c>
      <c r="I25">
        <v>15163.152915044602</v>
      </c>
      <c r="J25">
        <v>-97.781114947272627</v>
      </c>
    </row>
    <row r="26" spans="1:10" x14ac:dyDescent="0.3">
      <c r="A26">
        <v>14954.692610355502</v>
      </c>
      <c r="B26">
        <v>-97.810260906791484</v>
      </c>
      <c r="C26">
        <v>14954.692610355502</v>
      </c>
      <c r="D26">
        <v>-75.967853020164995</v>
      </c>
      <c r="G26">
        <v>14954.692610355502</v>
      </c>
      <c r="H26">
        <v>-75.943957823049601</v>
      </c>
      <c r="I26">
        <v>14954.692610355502</v>
      </c>
      <c r="J26">
        <v>-97.831148878905424</v>
      </c>
    </row>
    <row r="27" spans="1:10" x14ac:dyDescent="0.3">
      <c r="A27">
        <v>14749.098180519501</v>
      </c>
      <c r="B27">
        <v>-97.8429195363735</v>
      </c>
      <c r="C27">
        <v>14749.098180519501</v>
      </c>
      <c r="D27">
        <v>-76.1794318128171</v>
      </c>
      <c r="G27">
        <v>14749.098180519501</v>
      </c>
      <c r="H27">
        <v>-76.147617860868294</v>
      </c>
      <c r="I27">
        <v>14749.098180519501</v>
      </c>
      <c r="J27">
        <v>-97.845867036059502</v>
      </c>
    </row>
    <row r="28" spans="1:10" x14ac:dyDescent="0.3">
      <c r="A28">
        <v>14546.3302260033</v>
      </c>
      <c r="B28">
        <v>-97.828712346535596</v>
      </c>
      <c r="C28">
        <v>14546.3302260033</v>
      </c>
      <c r="D28">
        <v>-76.410505608551105</v>
      </c>
      <c r="G28">
        <v>14546.3302260033</v>
      </c>
      <c r="H28">
        <v>-76.376682154678505</v>
      </c>
      <c r="I28">
        <v>14546.3302260033</v>
      </c>
      <c r="J28">
        <v>-97.7886346736517</v>
      </c>
    </row>
    <row r="29" spans="1:10" x14ac:dyDescent="0.3">
      <c r="A29">
        <v>14346.3498889316</v>
      </c>
      <c r="B29">
        <v>-97.748434507317683</v>
      </c>
      <c r="C29">
        <v>14346.3498889316</v>
      </c>
      <c r="D29">
        <v>-76.609659509722491</v>
      </c>
      <c r="G29">
        <v>14346.3498889316</v>
      </c>
      <c r="H29">
        <v>-76.587518130952901</v>
      </c>
      <c r="I29">
        <v>14346.3498889316</v>
      </c>
      <c r="J29">
        <v>-97.834905799370389</v>
      </c>
    </row>
    <row r="30" spans="1:10" x14ac:dyDescent="0.3">
      <c r="A30">
        <v>14149.1188456401</v>
      </c>
      <c r="B30">
        <v>-97.770844009248492</v>
      </c>
      <c r="C30">
        <v>14149.1188456401</v>
      </c>
      <c r="D30">
        <v>-76.840902281028804</v>
      </c>
      <c r="G30">
        <v>14149.1188456401</v>
      </c>
      <c r="H30">
        <v>-76.801101971376582</v>
      </c>
      <c r="I30">
        <v>14149.1188456401</v>
      </c>
      <c r="J30">
        <v>-97.873767923743102</v>
      </c>
    </row>
    <row r="31" spans="1:10" x14ac:dyDescent="0.3">
      <c r="A31">
        <v>13954.599299331399</v>
      </c>
      <c r="B31">
        <v>-97.804449171719824</v>
      </c>
      <c r="C31">
        <v>13954.599299331399</v>
      </c>
      <c r="D31">
        <v>-77.052698943635207</v>
      </c>
      <c r="G31">
        <v>13954.599299331399</v>
      </c>
      <c r="H31">
        <v>-77.015027830904501</v>
      </c>
      <c r="I31">
        <v>13954.599299331399</v>
      </c>
      <c r="J31">
        <v>-97.803394359176806</v>
      </c>
    </row>
    <row r="32" spans="1:10" x14ac:dyDescent="0.3">
      <c r="A32">
        <v>13762.753972831699</v>
      </c>
      <c r="B32">
        <v>-97.886377846492607</v>
      </c>
      <c r="C32">
        <v>13762.753972831699</v>
      </c>
      <c r="D32">
        <v>-77.256748546160594</v>
      </c>
      <c r="G32">
        <v>13762.753972831699</v>
      </c>
      <c r="H32">
        <v>-77.235340914766994</v>
      </c>
      <c r="I32">
        <v>13762.753972831699</v>
      </c>
      <c r="J32">
        <v>-97.870338233033905</v>
      </c>
    </row>
    <row r="33" spans="1:10" x14ac:dyDescent="0.3">
      <c r="A33">
        <v>13573.546101446898</v>
      </c>
      <c r="B33">
        <v>-97.886887376071599</v>
      </c>
      <c r="C33">
        <v>13573.546101446898</v>
      </c>
      <c r="D33">
        <v>-77.468113466927093</v>
      </c>
      <c r="G33">
        <v>13573.546101446898</v>
      </c>
      <c r="H33">
        <v>-77.439777439895494</v>
      </c>
      <c r="I33">
        <v>13573.546101446898</v>
      </c>
      <c r="J33">
        <v>-97.630616872203504</v>
      </c>
    </row>
    <row r="34" spans="1:10" x14ac:dyDescent="0.3">
      <c r="A34">
        <v>13386.939425917601</v>
      </c>
      <c r="B34">
        <v>-97.896861281299195</v>
      </c>
      <c r="C34">
        <v>13386.939425917601</v>
      </c>
      <c r="D34">
        <v>-77.66610744837638</v>
      </c>
      <c r="G34">
        <v>13386.939425917601</v>
      </c>
      <c r="H34">
        <v>-77.647649314317505</v>
      </c>
      <c r="I34">
        <v>13386.939425917601</v>
      </c>
      <c r="J34">
        <v>-97.881602464227598</v>
      </c>
    </row>
    <row r="35" spans="1:10" x14ac:dyDescent="0.3">
      <c r="A35">
        <v>13202.8981854701</v>
      </c>
      <c r="B35">
        <v>-97.738624748612608</v>
      </c>
      <c r="C35">
        <v>13202.8981854701</v>
      </c>
      <c r="D35">
        <v>-77.861206284544195</v>
      </c>
      <c r="G35">
        <v>13202.8981854701</v>
      </c>
      <c r="H35">
        <v>-77.864126785105199</v>
      </c>
      <c r="I35">
        <v>13202.8981854701</v>
      </c>
      <c r="J35">
        <v>-97.846600768582078</v>
      </c>
    </row>
    <row r="36" spans="1:10" x14ac:dyDescent="0.3">
      <c r="A36">
        <v>13021.3871109632</v>
      </c>
      <c r="B36">
        <v>-97.819663282323503</v>
      </c>
      <c r="C36">
        <v>13021.3871109632</v>
      </c>
      <c r="D36">
        <v>-78.077697914623414</v>
      </c>
      <c r="G36">
        <v>13021.3871109632</v>
      </c>
      <c r="H36">
        <v>-78.0744648497692</v>
      </c>
      <c r="I36">
        <v>13021.3871109632</v>
      </c>
      <c r="J36">
        <v>-97.793696153734572</v>
      </c>
    </row>
    <row r="37" spans="1:10" x14ac:dyDescent="0.3">
      <c r="A37">
        <v>12842.3714181298</v>
      </c>
      <c r="B37">
        <v>-97.850828072021486</v>
      </c>
      <c r="C37">
        <v>12842.3714181298</v>
      </c>
      <c r="D37">
        <v>-78.293694941174394</v>
      </c>
      <c r="G37">
        <v>12842.3714181298</v>
      </c>
      <c r="H37">
        <v>-78.279634384504973</v>
      </c>
      <c r="I37">
        <v>12842.3714181298</v>
      </c>
      <c r="J37">
        <v>-97.809251799905596</v>
      </c>
    </row>
    <row r="38" spans="1:10" x14ac:dyDescent="0.3">
      <c r="A38">
        <v>12665.816800910499</v>
      </c>
      <c r="B38">
        <v>-97.902006473953278</v>
      </c>
      <c r="C38">
        <v>12665.816800910499</v>
      </c>
      <c r="D38">
        <v>-78.516011256532494</v>
      </c>
      <c r="G38">
        <v>12665.816800910499</v>
      </c>
      <c r="H38">
        <v>-78.497637375668091</v>
      </c>
      <c r="I38">
        <v>12665.816800910499</v>
      </c>
      <c r="J38">
        <v>-97.801041265999871</v>
      </c>
    </row>
    <row r="39" spans="1:10" x14ac:dyDescent="0.3">
      <c r="A39">
        <v>12491.689424879502</v>
      </c>
      <c r="B39">
        <v>-97.969646077003389</v>
      </c>
      <c r="C39">
        <v>12491.689424879502</v>
      </c>
      <c r="D39">
        <v>-78.715032077924604</v>
      </c>
      <c r="G39">
        <v>12491.689424879502</v>
      </c>
      <c r="H39">
        <v>-78.696921829836384</v>
      </c>
      <c r="I39">
        <v>12491.689424879502</v>
      </c>
      <c r="J39">
        <v>-97.876932747905798</v>
      </c>
    </row>
    <row r="40" spans="1:10" x14ac:dyDescent="0.3">
      <c r="A40">
        <v>12319.955920760602</v>
      </c>
      <c r="B40">
        <v>-97.919558749561602</v>
      </c>
      <c r="C40">
        <v>12319.955920760602</v>
      </c>
      <c r="D40">
        <v>-78.910725925150004</v>
      </c>
      <c r="G40">
        <v>12319.955920760602</v>
      </c>
      <c r="H40">
        <v>-78.919331719084781</v>
      </c>
      <c r="I40">
        <v>12319.955920760602</v>
      </c>
      <c r="J40">
        <v>-97.789033112505606</v>
      </c>
    </row>
    <row r="41" spans="1:10" x14ac:dyDescent="0.3">
      <c r="A41">
        <v>12150.583378032399</v>
      </c>
      <c r="B41">
        <v>-97.855003123350301</v>
      </c>
      <c r="C41">
        <v>12150.583378032399</v>
      </c>
      <c r="D41">
        <v>-79.152103984833005</v>
      </c>
      <c r="G41">
        <v>12150.583378032399</v>
      </c>
      <c r="H41">
        <v>-79.121091379773105</v>
      </c>
      <c r="I41">
        <v>12150.583378032399</v>
      </c>
      <c r="J41">
        <v>-97.949973667219851</v>
      </c>
    </row>
    <row r="42" spans="1:10" x14ac:dyDescent="0.3">
      <c r="A42">
        <v>11983.5393386215</v>
      </c>
      <c r="B42">
        <v>-97.822646821271277</v>
      </c>
      <c r="C42">
        <v>11983.5393386215</v>
      </c>
      <c r="D42">
        <v>-79.343138149132997</v>
      </c>
      <c r="G42">
        <v>11983.5393386215</v>
      </c>
      <c r="H42">
        <v>-79.366764447953415</v>
      </c>
      <c r="I42">
        <v>11983.5393386215</v>
      </c>
      <c r="J42">
        <v>-97.738037635827283</v>
      </c>
    </row>
    <row r="43" spans="1:10" x14ac:dyDescent="0.3">
      <c r="A43">
        <v>11818.7917906822</v>
      </c>
      <c r="B43">
        <v>-97.822110868419301</v>
      </c>
      <c r="C43">
        <v>11818.7917906822</v>
      </c>
      <c r="D43">
        <v>-79.532800118983999</v>
      </c>
      <c r="G43">
        <v>11818.7917906822</v>
      </c>
      <c r="H43">
        <v>-79.568631565998089</v>
      </c>
      <c r="I43">
        <v>11818.7917906822</v>
      </c>
      <c r="J43">
        <v>-97.842918388003199</v>
      </c>
    </row>
    <row r="44" spans="1:10" x14ac:dyDescent="0.3">
      <c r="A44">
        <v>11656.309162461999</v>
      </c>
      <c r="B44">
        <v>-97.868297757973281</v>
      </c>
      <c r="C44">
        <v>11656.309162461999</v>
      </c>
      <c r="D44">
        <v>-79.735701542820379</v>
      </c>
      <c r="G44">
        <v>11656.309162461999</v>
      </c>
      <c r="H44">
        <v>-79.746644186878896</v>
      </c>
      <c r="I44">
        <v>11656.309162461999</v>
      </c>
      <c r="J44">
        <v>-97.859276593151904</v>
      </c>
    </row>
    <row r="45" spans="1:10" x14ac:dyDescent="0.3">
      <c r="A45">
        <v>11496.060316251</v>
      </c>
      <c r="B45">
        <v>-97.791984924563991</v>
      </c>
      <c r="C45">
        <v>11496.060316251</v>
      </c>
      <c r="D45">
        <v>-79.958328666061405</v>
      </c>
      <c r="G45">
        <v>11496.060316251</v>
      </c>
      <c r="H45">
        <v>-79.966693098592998</v>
      </c>
      <c r="I45">
        <v>11496.060316251</v>
      </c>
      <c r="J45">
        <v>-97.818188580966407</v>
      </c>
    </row>
    <row r="46" spans="1:10" x14ac:dyDescent="0.3">
      <c r="A46">
        <v>11338.014542415101</v>
      </c>
      <c r="B46">
        <v>-97.950090409315195</v>
      </c>
      <c r="C46">
        <v>11338.014542415101</v>
      </c>
      <c r="D46">
        <v>-80.174320308496974</v>
      </c>
      <c r="G46">
        <v>11338.014542415101</v>
      </c>
      <c r="H46">
        <v>-80.180690320927695</v>
      </c>
      <c r="I46">
        <v>11338.014542415101</v>
      </c>
      <c r="J46">
        <v>-97.864627383828307</v>
      </c>
    </row>
    <row r="47" spans="1:10" x14ac:dyDescent="0.3">
      <c r="A47">
        <v>11182.141553510801</v>
      </c>
      <c r="B47">
        <v>-97.893384793623028</v>
      </c>
      <c r="C47">
        <v>11182.141553510801</v>
      </c>
      <c r="D47">
        <v>-80.364728457475692</v>
      </c>
      <c r="G47">
        <v>11182.141553510801</v>
      </c>
      <c r="H47">
        <v>-80.365279602240506</v>
      </c>
      <c r="I47">
        <v>11182.141553510801</v>
      </c>
      <c r="J47">
        <v>-97.798658974434403</v>
      </c>
    </row>
    <row r="48" spans="1:10" x14ac:dyDescent="0.3">
      <c r="A48">
        <v>11028.411478480899</v>
      </c>
      <c r="B48">
        <v>-97.890055501575105</v>
      </c>
      <c r="C48">
        <v>11028.411478480899</v>
      </c>
      <c r="D48">
        <v>-80.586411949311298</v>
      </c>
      <c r="G48">
        <v>11028.411478480899</v>
      </c>
      <c r="H48">
        <v>-80.559413482203112</v>
      </c>
      <c r="I48">
        <v>11028.411478480899</v>
      </c>
      <c r="J48">
        <v>-97.920344317151901</v>
      </c>
    </row>
    <row r="49" spans="1:10" x14ac:dyDescent="0.3">
      <c r="A49">
        <v>10876.794856929801</v>
      </c>
      <c r="B49">
        <v>-97.876583010109599</v>
      </c>
      <c r="C49">
        <v>10876.794856929801</v>
      </c>
      <c r="D49">
        <v>-80.783624592928007</v>
      </c>
      <c r="G49">
        <v>10876.794856929801</v>
      </c>
      <c r="H49">
        <v>-80.786001243830214</v>
      </c>
      <c r="I49">
        <v>10876.794856929801</v>
      </c>
      <c r="J49">
        <v>-97.803208429312392</v>
      </c>
    </row>
    <row r="50" spans="1:10" x14ac:dyDescent="0.3">
      <c r="A50">
        <v>10727.2626334787</v>
      </c>
      <c r="B50">
        <v>-97.73453860192889</v>
      </c>
      <c r="C50">
        <v>10727.2626334787</v>
      </c>
      <c r="D50">
        <v>-80.978941473144701</v>
      </c>
      <c r="G50">
        <v>10727.2626334787</v>
      </c>
      <c r="H50">
        <v>-80.993082557409295</v>
      </c>
      <c r="I50">
        <v>10727.2626334787</v>
      </c>
      <c r="J50">
        <v>-97.860022180210208</v>
      </c>
    </row>
    <row r="51" spans="1:10" x14ac:dyDescent="0.3">
      <c r="A51">
        <v>10579.786152196499</v>
      </c>
      <c r="B51">
        <v>-97.939105430371811</v>
      </c>
      <c r="C51">
        <v>10579.786152196499</v>
      </c>
      <c r="D51">
        <v>-81.183119730507798</v>
      </c>
      <c r="G51">
        <v>10579.786152196499</v>
      </c>
      <c r="H51">
        <v>-81.190292216563506</v>
      </c>
      <c r="I51">
        <v>10579.786152196499</v>
      </c>
      <c r="J51">
        <v>-97.89174334772089</v>
      </c>
    </row>
    <row r="52" spans="1:10" x14ac:dyDescent="0.3">
      <c r="A52">
        <v>10434.337151108899</v>
      </c>
      <c r="B52">
        <v>-97.901035546215397</v>
      </c>
      <c r="C52">
        <v>10434.337151108899</v>
      </c>
      <c r="D52">
        <v>-81.367652614685895</v>
      </c>
      <c r="G52">
        <v>10434.337151108899</v>
      </c>
      <c r="H52">
        <v>-81.383392148731289</v>
      </c>
      <c r="I52">
        <v>10434.337151108899</v>
      </c>
      <c r="J52">
        <v>-97.865508604816199</v>
      </c>
    </row>
    <row r="53" spans="1:10" x14ac:dyDescent="0.3">
      <c r="A53">
        <v>10290.8877567821</v>
      </c>
      <c r="B53">
        <v>-97.850202683580093</v>
      </c>
      <c r="C53">
        <v>10290.8877567821</v>
      </c>
      <c r="D53">
        <v>-81.563498638440194</v>
      </c>
      <c r="G53">
        <v>10290.8877567821</v>
      </c>
      <c r="H53">
        <v>-81.558843792007579</v>
      </c>
      <c r="I53">
        <v>10290.8877567821</v>
      </c>
      <c r="J53">
        <v>-97.809267093523815</v>
      </c>
    </row>
    <row r="54" spans="1:10" x14ac:dyDescent="0.3">
      <c r="A54">
        <v>10149.410478981201</v>
      </c>
      <c r="B54">
        <v>-97.936539143099068</v>
      </c>
      <c r="C54">
        <v>10149.410478981201</v>
      </c>
      <c r="D54">
        <v>-81.745847544132303</v>
      </c>
      <c r="G54">
        <v>10149.410478981201</v>
      </c>
      <c r="H54">
        <v>-81.780912403931794</v>
      </c>
      <c r="I54">
        <v>10149.410478981201</v>
      </c>
      <c r="J54">
        <v>-97.81587298822248</v>
      </c>
    </row>
    <row r="55" spans="1:10" x14ac:dyDescent="0.3">
      <c r="A55">
        <v>10009.878205402099</v>
      </c>
      <c r="B55">
        <v>-98.038822031768703</v>
      </c>
      <c r="C55">
        <v>10009.878205402099</v>
      </c>
      <c r="D55">
        <v>-81.975296717390705</v>
      </c>
      <c r="G55">
        <v>10009.878205402099</v>
      </c>
      <c r="H55">
        <v>-81.987604176998005</v>
      </c>
      <c r="I55">
        <v>10009.878205402099</v>
      </c>
      <c r="J55">
        <v>-97.785246521804282</v>
      </c>
    </row>
    <row r="56" spans="1:10" x14ac:dyDescent="0.3">
      <c r="A56">
        <v>9872.2641964760478</v>
      </c>
      <c r="B56">
        <v>-97.893384741735915</v>
      </c>
      <c r="C56">
        <v>9872.2641964760478</v>
      </c>
      <c r="D56">
        <v>-82.176561403593979</v>
      </c>
      <c r="G56">
        <v>9872.2641964760478</v>
      </c>
      <c r="H56">
        <v>-82.152908240564102</v>
      </c>
      <c r="I56">
        <v>9872.2641964760478</v>
      </c>
      <c r="J56">
        <v>-97.782162846360194</v>
      </c>
    </row>
    <row r="57" spans="1:10" x14ac:dyDescent="0.3">
      <c r="A57">
        <v>9736.5420802447807</v>
      </c>
      <c r="B57">
        <v>-97.916265255025607</v>
      </c>
      <c r="C57">
        <v>9736.5420802447807</v>
      </c>
      <c r="D57">
        <v>-82.370868842378684</v>
      </c>
      <c r="G57">
        <v>9736.5420802447807</v>
      </c>
      <c r="H57">
        <v>-82.34960028149878</v>
      </c>
      <c r="I57">
        <v>9736.5420802447807</v>
      </c>
      <c r="J57">
        <v>-97.867303368125107</v>
      </c>
    </row>
    <row r="58" spans="1:10" x14ac:dyDescent="0.3">
      <c r="A58">
        <v>9602.6858473071206</v>
      </c>
      <c r="B58">
        <v>-97.806453660780193</v>
      </c>
      <c r="C58">
        <v>9602.6858473071206</v>
      </c>
      <c r="D58">
        <v>-82.563991945930496</v>
      </c>
      <c r="G58">
        <v>9602.6858473071206</v>
      </c>
      <c r="H58">
        <v>-82.546455670246573</v>
      </c>
      <c r="I58">
        <v>9602.6858473071206</v>
      </c>
      <c r="J58">
        <v>-97.747787490743903</v>
      </c>
    </row>
    <row r="59" spans="1:10" x14ac:dyDescent="0.3">
      <c r="A59">
        <v>9470.6698458344399</v>
      </c>
      <c r="B59">
        <v>-97.822770383077682</v>
      </c>
      <c r="C59">
        <v>9470.6698458344399</v>
      </c>
      <c r="D59">
        <v>-82.753399819864583</v>
      </c>
      <c r="G59">
        <v>9470.6698458344399</v>
      </c>
      <c r="H59">
        <v>-82.756956467221997</v>
      </c>
      <c r="I59">
        <v>9470.6698458344399</v>
      </c>
      <c r="J59">
        <v>-97.844476741393095</v>
      </c>
    </row>
    <row r="60" spans="1:10" x14ac:dyDescent="0.3">
      <c r="A60">
        <v>9340.4687766548795</v>
      </c>
      <c r="B60">
        <v>-97.913390896074489</v>
      </c>
      <c r="C60">
        <v>9340.4687766548795</v>
      </c>
      <c r="D60">
        <v>-82.952758687894701</v>
      </c>
      <c r="G60">
        <v>9340.4687766548795</v>
      </c>
      <c r="H60">
        <v>-82.964155513739499</v>
      </c>
      <c r="I60">
        <v>9340.4687766548795</v>
      </c>
      <c r="J60">
        <v>-97.824327019763601</v>
      </c>
    </row>
    <row r="61" spans="1:10" x14ac:dyDescent="0.3">
      <c r="A61">
        <v>9212.0576884050079</v>
      </c>
      <c r="B61">
        <v>-97.908598522808006</v>
      </c>
      <c r="C61">
        <v>9212.0576884050079</v>
      </c>
      <c r="D61">
        <v>-83.140239122486804</v>
      </c>
      <c r="G61">
        <v>9212.0576884050079</v>
      </c>
      <c r="H61">
        <v>-83.116578990065605</v>
      </c>
      <c r="I61">
        <v>9212.0576884050079</v>
      </c>
      <c r="J61">
        <v>-97.724933053129703</v>
      </c>
    </row>
    <row r="62" spans="1:10" x14ac:dyDescent="0.3">
      <c r="A62">
        <v>9085.4119727482885</v>
      </c>
      <c r="B62">
        <v>-97.798476062467302</v>
      </c>
      <c r="C62">
        <v>9085.4119727482885</v>
      </c>
      <c r="D62">
        <v>-83.340560357015903</v>
      </c>
      <c r="G62">
        <v>9085.4119727482885</v>
      </c>
      <c r="H62">
        <v>-83.342376020278508</v>
      </c>
      <c r="I62">
        <v>9085.4119727482885</v>
      </c>
      <c r="J62">
        <v>-97.984953706431682</v>
      </c>
    </row>
    <row r="63" spans="1:10" x14ac:dyDescent="0.3">
      <c r="A63">
        <v>8960.5073596591792</v>
      </c>
      <c r="B63">
        <v>-97.875503706009795</v>
      </c>
      <c r="C63">
        <v>8960.5073596591792</v>
      </c>
      <c r="D63">
        <v>-83.523605485539903</v>
      </c>
      <c r="G63">
        <v>8960.5073596591792</v>
      </c>
      <c r="H63">
        <v>-83.565473250890307</v>
      </c>
      <c r="I63">
        <v>8960.5073596591792</v>
      </c>
      <c r="J63">
        <v>-97.828326844161595</v>
      </c>
    </row>
    <row r="64" spans="1:10" x14ac:dyDescent="0.3">
      <c r="A64">
        <v>8837.31991277208</v>
      </c>
      <c r="B64">
        <v>-97.82940472681021</v>
      </c>
      <c r="C64">
        <v>8837.31991277208</v>
      </c>
      <c r="D64">
        <v>-83.693806388831604</v>
      </c>
      <c r="G64">
        <v>8837.31991277208</v>
      </c>
      <c r="H64">
        <v>-83.696523422490003</v>
      </c>
      <c r="I64">
        <v>8837.31991277208</v>
      </c>
      <c r="J64">
        <v>-97.923389444239007</v>
      </c>
    </row>
    <row r="65" spans="1:10" x14ac:dyDescent="0.3">
      <c r="A65">
        <v>8715.8260247942508</v>
      </c>
      <c r="B65">
        <v>-97.880121070074594</v>
      </c>
      <c r="C65">
        <v>8715.8260247942508</v>
      </c>
      <c r="D65">
        <v>-83.872148332385606</v>
      </c>
      <c r="G65">
        <v>8715.8260247942508</v>
      </c>
      <c r="H65">
        <v>-83.884321334782896</v>
      </c>
      <c r="I65">
        <v>8715.8260247942508</v>
      </c>
      <c r="J65">
        <v>-97.712466863668098</v>
      </c>
    </row>
    <row r="66" spans="1:10" x14ac:dyDescent="0.3">
      <c r="A66">
        <v>8596.0024129817793</v>
      </c>
      <c r="B66">
        <v>-97.8792667876385</v>
      </c>
      <c r="C66">
        <v>8596.0024129817793</v>
      </c>
      <c r="D66">
        <v>-84.029114888776974</v>
      </c>
      <c r="G66">
        <v>8596.0024129817793</v>
      </c>
      <c r="H66">
        <v>-84.111108078775999</v>
      </c>
      <c r="I66">
        <v>8596.0024129817793</v>
      </c>
      <c r="J66">
        <v>-97.798822055312101</v>
      </c>
    </row>
    <row r="67" spans="1:10" x14ac:dyDescent="0.3">
      <c r="A67">
        <v>8477.8261146777495</v>
      </c>
      <c r="B67">
        <v>-97.859634458941414</v>
      </c>
      <c r="C67">
        <v>8477.8261146777495</v>
      </c>
      <c r="D67">
        <v>-84.2527308597831</v>
      </c>
      <c r="G67">
        <v>8477.8261146777495</v>
      </c>
      <c r="H67">
        <v>-84.272634346637588</v>
      </c>
      <c r="I67">
        <v>8477.8261146777495</v>
      </c>
      <c r="J67">
        <v>-97.8092567693283</v>
      </c>
    </row>
    <row r="68" spans="1:10" x14ac:dyDescent="0.3">
      <c r="A68">
        <v>8361.2744829117</v>
      </c>
      <c r="B68">
        <v>-97.928921690028602</v>
      </c>
      <c r="C68">
        <v>8361.2744829117</v>
      </c>
      <c r="D68">
        <v>-84.429395335535901</v>
      </c>
      <c r="G68">
        <v>8361.2744829117</v>
      </c>
      <c r="H68">
        <v>-84.438054617050597</v>
      </c>
      <c r="I68">
        <v>8361.2744829117</v>
      </c>
      <c r="J68">
        <v>-97.789613793414006</v>
      </c>
    </row>
    <row r="69" spans="1:10" x14ac:dyDescent="0.3">
      <c r="A69">
        <v>8246.3251820596779</v>
      </c>
      <c r="B69">
        <v>-97.922327878261299</v>
      </c>
      <c r="C69">
        <v>8246.3251820596779</v>
      </c>
      <c r="D69">
        <v>-84.658418533442614</v>
      </c>
      <c r="G69">
        <v>8246.3251820596779</v>
      </c>
      <c r="H69">
        <v>-84.654961629428996</v>
      </c>
      <c r="I69">
        <v>8246.3251820596779</v>
      </c>
      <c r="J69">
        <v>-97.839125451099591</v>
      </c>
    </row>
    <row r="70" spans="1:10" x14ac:dyDescent="0.3">
      <c r="A70">
        <v>8132.9561835638897</v>
      </c>
      <c r="B70">
        <v>-97.895722924878797</v>
      </c>
      <c r="C70">
        <v>8132.9561835638897</v>
      </c>
      <c r="D70">
        <v>-84.814965891704404</v>
      </c>
      <c r="G70">
        <v>8132.9561835638897</v>
      </c>
      <c r="H70">
        <v>-84.8032798758056</v>
      </c>
      <c r="I70">
        <v>8132.9561835638897</v>
      </c>
      <c r="J70">
        <v>-97.804357624441593</v>
      </c>
    </row>
    <row r="71" spans="1:10" x14ac:dyDescent="0.3">
      <c r="A71">
        <v>8021.1457617111691</v>
      </c>
      <c r="B71">
        <v>-97.825441729948679</v>
      </c>
      <c r="C71">
        <v>8021.1457617111691</v>
      </c>
      <c r="D71">
        <v>-85.017590330821605</v>
      </c>
      <c r="G71">
        <v>8021.1457617111691</v>
      </c>
      <c r="H71">
        <v>-84.999901850160583</v>
      </c>
      <c r="I71">
        <v>8021.1457617111691</v>
      </c>
      <c r="J71">
        <v>-97.836131872260879</v>
      </c>
    </row>
    <row r="72" spans="1:10" x14ac:dyDescent="0.3">
      <c r="A72">
        <v>7910.8724894695779</v>
      </c>
      <c r="B72">
        <v>-97.966797363376898</v>
      </c>
      <c r="C72">
        <v>7910.8724894695779</v>
      </c>
      <c r="D72">
        <v>-85.162706658877383</v>
      </c>
      <c r="G72">
        <v>7910.8724894695779</v>
      </c>
      <c r="H72">
        <v>-85.168148681976305</v>
      </c>
      <c r="I72">
        <v>7910.8724894695779</v>
      </c>
      <c r="J72">
        <v>-97.84403487138259</v>
      </c>
    </row>
    <row r="73" spans="1:10" x14ac:dyDescent="0.3">
      <c r="A73">
        <v>7802.1152343821595</v>
      </c>
      <c r="B73">
        <v>-97.928213734520611</v>
      </c>
      <c r="C73">
        <v>7802.1152343821595</v>
      </c>
      <c r="D73">
        <v>-85.33935138492518</v>
      </c>
      <c r="G73">
        <v>7802.1152343821595</v>
      </c>
      <c r="H73">
        <v>-85.422499338249793</v>
      </c>
      <c r="I73">
        <v>7802.1152343821595</v>
      </c>
      <c r="J73">
        <v>-97.810174207271373</v>
      </c>
    </row>
    <row r="74" spans="1:10" x14ac:dyDescent="0.3">
      <c r="A74">
        <v>7694.8531545171818</v>
      </c>
      <c r="B74">
        <v>-97.893830779061773</v>
      </c>
      <c r="C74">
        <v>7694.8531545171818</v>
      </c>
      <c r="D74">
        <v>-85.546543041487482</v>
      </c>
      <c r="G74">
        <v>7694.8531545171818</v>
      </c>
      <c r="H74">
        <v>-85.522984134880787</v>
      </c>
      <c r="I74">
        <v>7694.8531545171818</v>
      </c>
      <c r="J74">
        <v>-97.768817896540995</v>
      </c>
    </row>
    <row r="75" spans="1:10" x14ac:dyDescent="0.3">
      <c r="A75">
        <v>7589.0656944740404</v>
      </c>
      <c r="B75">
        <v>-97.933196300093698</v>
      </c>
      <c r="C75">
        <v>7589.0656944740404</v>
      </c>
      <c r="D75">
        <v>-85.740530182868781</v>
      </c>
      <c r="G75">
        <v>7589.0656944740404</v>
      </c>
      <c r="H75">
        <v>-85.692059798767602</v>
      </c>
      <c r="I75">
        <v>7589.0656944740404</v>
      </c>
      <c r="J75">
        <v>-97.722192273398804</v>
      </c>
    </row>
    <row r="76" spans="1:10" x14ac:dyDescent="0.3">
      <c r="A76">
        <v>7484.7325814441201</v>
      </c>
      <c r="B76">
        <v>-97.899848882785207</v>
      </c>
      <c r="C76">
        <v>7484.7325814441201</v>
      </c>
      <c r="D76">
        <v>-85.885776695776002</v>
      </c>
      <c r="G76">
        <v>7484.7325814441201</v>
      </c>
      <c r="H76">
        <v>-85.848507221457893</v>
      </c>
      <c r="I76">
        <v>7484.7325814441201</v>
      </c>
      <c r="J76">
        <v>-97.8110514531608</v>
      </c>
    </row>
    <row r="77" spans="1:10" x14ac:dyDescent="0.3">
      <c r="A77">
        <v>7381.8338213257202</v>
      </c>
      <c r="B77">
        <v>-97.955464928725505</v>
      </c>
      <c r="C77">
        <v>7381.8338213257202</v>
      </c>
      <c r="D77">
        <v>-86.100233554025394</v>
      </c>
      <c r="G77">
        <v>7381.8338213257202</v>
      </c>
      <c r="H77">
        <v>-86.068923860996193</v>
      </c>
      <c r="I77">
        <v>7381.8338213257202</v>
      </c>
      <c r="J77">
        <v>-97.716117414566881</v>
      </c>
    </row>
    <row r="78" spans="1:10" x14ac:dyDescent="0.3">
      <c r="A78">
        <v>7280.3496948924403</v>
      </c>
      <c r="B78">
        <v>-97.881527246465282</v>
      </c>
      <c r="C78">
        <v>7280.3496948924403</v>
      </c>
      <c r="D78">
        <v>-86.226678258554784</v>
      </c>
      <c r="G78">
        <v>7280.3496948924403</v>
      </c>
      <c r="H78">
        <v>-86.189092285858706</v>
      </c>
      <c r="I78">
        <v>7280.3496948924403</v>
      </c>
      <c r="J78">
        <v>-97.751855991551011</v>
      </c>
    </row>
    <row r="79" spans="1:10" x14ac:dyDescent="0.3">
      <c r="A79">
        <v>7180.2607540142999</v>
      </c>
      <c r="B79">
        <v>-97.921056223078892</v>
      </c>
      <c r="C79">
        <v>7180.2607540142999</v>
      </c>
      <c r="D79">
        <v>-86.384645923466707</v>
      </c>
      <c r="G79">
        <v>7180.2607540142999</v>
      </c>
      <c r="H79">
        <v>-86.38617108739038</v>
      </c>
      <c r="I79">
        <v>7180.2607540142999</v>
      </c>
      <c r="J79">
        <v>-97.933529745169409</v>
      </c>
    </row>
    <row r="80" spans="1:10" x14ac:dyDescent="0.3">
      <c r="A80">
        <v>7081.5478179306892</v>
      </c>
      <c r="B80">
        <v>-97.801282204700186</v>
      </c>
      <c r="C80">
        <v>7081.5478179306892</v>
      </c>
      <c r="D80">
        <v>-86.595523769556607</v>
      </c>
      <c r="G80">
        <v>7081.5478179306892</v>
      </c>
      <c r="H80">
        <v>-86.540212910223204</v>
      </c>
      <c r="I80">
        <v>7081.5478179306892</v>
      </c>
      <c r="J80">
        <v>-97.907868667996013</v>
      </c>
    </row>
    <row r="81" spans="1:10" x14ac:dyDescent="0.3">
      <c r="A81">
        <v>6984.1919695746892</v>
      </c>
      <c r="B81">
        <v>-97.895524887835592</v>
      </c>
      <c r="C81">
        <v>6984.1919695746892</v>
      </c>
      <c r="D81">
        <v>-86.753867714598897</v>
      </c>
      <c r="G81">
        <v>6984.1919695746892</v>
      </c>
      <c r="H81">
        <v>-86.7473150728771</v>
      </c>
      <c r="I81">
        <v>6984.1919695746892</v>
      </c>
      <c r="J81">
        <v>-97.785898716732703</v>
      </c>
    </row>
    <row r="82" spans="1:10" x14ac:dyDescent="0.3">
      <c r="A82">
        <v>6888.17455194779</v>
      </c>
      <c r="B82">
        <v>-97.873944392028903</v>
      </c>
      <c r="C82">
        <v>6888.17455194779</v>
      </c>
      <c r="D82">
        <v>-86.906202840941305</v>
      </c>
      <c r="G82">
        <v>6888.17455194779</v>
      </c>
      <c r="H82">
        <v>-86.907740279690216</v>
      </c>
      <c r="I82">
        <v>6888.17455194779</v>
      </c>
      <c r="J82">
        <v>-97.893139985612478</v>
      </c>
    </row>
    <row r="83" spans="1:10" x14ac:dyDescent="0.3">
      <c r="A83">
        <v>6793.4771645445608</v>
      </c>
      <c r="B83">
        <v>-97.853287170126208</v>
      </c>
      <c r="C83">
        <v>6793.4771645445608</v>
      </c>
      <c r="D83">
        <v>-87.074125606954496</v>
      </c>
      <c r="G83">
        <v>6793.4771645445608</v>
      </c>
      <c r="H83">
        <v>-87.064367527953607</v>
      </c>
      <c r="I83">
        <v>6793.4771645445608</v>
      </c>
      <c r="J83">
        <v>-97.950402846864307</v>
      </c>
    </row>
    <row r="84" spans="1:10" x14ac:dyDescent="0.3">
      <c r="A84">
        <v>6700.0816598264091</v>
      </c>
      <c r="B84">
        <v>-97.805387338178477</v>
      </c>
      <c r="C84">
        <v>6700.0816598264091</v>
      </c>
      <c r="D84">
        <v>-87.175955883203386</v>
      </c>
      <c r="G84">
        <v>6700.0816598264091</v>
      </c>
      <c r="H84">
        <v>-87.222984184264973</v>
      </c>
      <c r="I84">
        <v>6700.0816598264091</v>
      </c>
      <c r="J84">
        <v>-97.843507696401772</v>
      </c>
    </row>
    <row r="85" spans="1:10" x14ac:dyDescent="0.3">
      <c r="A85">
        <v>6607.9701397438603</v>
      </c>
      <c r="B85">
        <v>-97.835262396835503</v>
      </c>
      <c r="C85">
        <v>6607.9701397438603</v>
      </c>
      <c r="D85">
        <v>-87.406780826707603</v>
      </c>
      <c r="G85">
        <v>6607.9701397438603</v>
      </c>
      <c r="H85">
        <v>-87.361754933849397</v>
      </c>
      <c r="I85">
        <v>6607.9701397438603</v>
      </c>
      <c r="J85">
        <v>-97.946113656468484</v>
      </c>
    </row>
    <row r="86" spans="1:10" x14ac:dyDescent="0.3">
      <c r="A86">
        <v>6517.1249523065899</v>
      </c>
      <c r="B86">
        <v>-97.790203902236485</v>
      </c>
      <c r="C86">
        <v>6517.1249523065899</v>
      </c>
      <c r="D86">
        <v>-87.568020981225402</v>
      </c>
      <c r="G86">
        <v>6517.1249523065899</v>
      </c>
      <c r="H86">
        <v>-87.563968006492701</v>
      </c>
      <c r="I86">
        <v>6517.1249523065899</v>
      </c>
      <c r="J86">
        <v>-97.731780706432005</v>
      </c>
    </row>
    <row r="87" spans="1:10" x14ac:dyDescent="0.3">
      <c r="A87">
        <v>6427.5286882006903</v>
      </c>
      <c r="B87">
        <v>-97.918603768626284</v>
      </c>
      <c r="C87">
        <v>6427.5286882006903</v>
      </c>
      <c r="D87">
        <v>-87.744777843286002</v>
      </c>
      <c r="G87">
        <v>6427.5286882006903</v>
      </c>
      <c r="H87">
        <v>-87.759932001533713</v>
      </c>
      <c r="I87">
        <v>6427.5286882006903</v>
      </c>
      <c r="J87">
        <v>-97.836062590763902</v>
      </c>
    </row>
    <row r="88" spans="1:10" x14ac:dyDescent="0.3">
      <c r="A88">
        <v>6339.1641774523696</v>
      </c>
      <c r="B88">
        <v>-98.017677081513412</v>
      </c>
      <c r="C88">
        <v>6339.1641774523696</v>
      </c>
      <c r="D88">
        <v>-87.87566284005598</v>
      </c>
      <c r="G88">
        <v>6339.1641774523696</v>
      </c>
      <c r="H88">
        <v>-87.885884247354213</v>
      </c>
      <c r="I88">
        <v>6339.1641774523696</v>
      </c>
      <c r="J88">
        <v>-97.879077082314893</v>
      </c>
    </row>
    <row r="89" spans="1:10" x14ac:dyDescent="0.3">
      <c r="A89">
        <v>6252.0144861375402</v>
      </c>
      <c r="B89">
        <v>-97.853481817689598</v>
      </c>
      <c r="C89">
        <v>6252.0144861375402</v>
      </c>
      <c r="D89">
        <v>-88.057276318844487</v>
      </c>
      <c r="G89">
        <v>6252.0144861375402</v>
      </c>
      <c r="H89">
        <v>-88.057321412147601</v>
      </c>
      <c r="I89">
        <v>6252.0144861375402</v>
      </c>
      <c r="J89">
        <v>-97.733199298711071</v>
      </c>
    </row>
    <row r="90" spans="1:10" x14ac:dyDescent="0.3">
      <c r="A90">
        <v>6166.0629131366795</v>
      </c>
      <c r="B90">
        <v>-97.989982433433795</v>
      </c>
      <c r="C90">
        <v>6166.0629131366795</v>
      </c>
      <c r="D90">
        <v>-88.261746213779389</v>
      </c>
      <c r="G90">
        <v>6166.0629131366795</v>
      </c>
      <c r="H90">
        <v>-88.188866195090199</v>
      </c>
      <c r="I90">
        <v>6166.0629131366795</v>
      </c>
      <c r="J90">
        <v>-97.918409646682889</v>
      </c>
    </row>
    <row r="91" spans="1:10" x14ac:dyDescent="0.3">
      <c r="A91">
        <v>6081.2929869342606</v>
      </c>
      <c r="B91">
        <v>-97.787768721369602</v>
      </c>
      <c r="C91">
        <v>6081.2929869342606</v>
      </c>
      <c r="D91">
        <v>-88.400050319804905</v>
      </c>
      <c r="G91">
        <v>6081.2929869342606</v>
      </c>
      <c r="H91">
        <v>-88.382960807032191</v>
      </c>
      <c r="I91">
        <v>6081.2929869342606</v>
      </c>
      <c r="J91">
        <v>-97.81418436472039</v>
      </c>
    </row>
    <row r="92" spans="1:10" x14ac:dyDescent="0.3">
      <c r="A92">
        <v>5997.6884624621798</v>
      </c>
      <c r="B92">
        <v>-97.894709815843001</v>
      </c>
      <c r="C92">
        <v>5997.6884624621798</v>
      </c>
      <c r="D92">
        <v>-88.538840765886306</v>
      </c>
      <c r="G92">
        <v>5997.6884624621798</v>
      </c>
      <c r="H92">
        <v>-88.543941684773102</v>
      </c>
      <c r="I92">
        <v>5997.6884624621798</v>
      </c>
      <c r="J92">
        <v>-97.758509989555691</v>
      </c>
    </row>
    <row r="93" spans="1:10" x14ac:dyDescent="0.3">
      <c r="A93">
        <v>5915.23331798663</v>
      </c>
      <c r="B93">
        <v>-97.895480669977914</v>
      </c>
      <c r="C93">
        <v>5915.23331798663</v>
      </c>
      <c r="D93">
        <v>-88.684032310847414</v>
      </c>
      <c r="G93">
        <v>5915.23331798663</v>
      </c>
      <c r="H93">
        <v>-88.648863745360003</v>
      </c>
      <c r="I93">
        <v>5915.23331798663</v>
      </c>
      <c r="J93">
        <v>-97.809150903419052</v>
      </c>
    </row>
    <row r="94" spans="1:10" x14ac:dyDescent="0.3">
      <c r="A94">
        <v>5833.9117520377104</v>
      </c>
      <c r="B94">
        <v>-97.93434308079641</v>
      </c>
      <c r="C94">
        <v>5833.9117520377104</v>
      </c>
      <c r="D94">
        <v>-88.797390189365601</v>
      </c>
      <c r="G94">
        <v>5833.9117520377104</v>
      </c>
      <c r="H94">
        <v>-88.783174337040791</v>
      </c>
      <c r="I94">
        <v>5833.9117520377104</v>
      </c>
      <c r="J94">
        <v>-97.822417452191303</v>
      </c>
    </row>
    <row r="95" spans="1:10" x14ac:dyDescent="0.3">
      <c r="A95">
        <v>5753.7081803812998</v>
      </c>
      <c r="B95">
        <v>-97.837999978348478</v>
      </c>
      <c r="C95">
        <v>5753.7081803812998</v>
      </c>
      <c r="D95">
        <v>-89.014176426736512</v>
      </c>
      <c r="G95">
        <v>5753.7081803812998</v>
      </c>
      <c r="H95">
        <v>-88.944411094815294</v>
      </c>
      <c r="I95">
        <v>5753.7081803812998</v>
      </c>
      <c r="J95">
        <v>-97.863426082059277</v>
      </c>
    </row>
    <row r="96" spans="1:10" x14ac:dyDescent="0.3">
      <c r="A96">
        <v>5674.6072330325405</v>
      </c>
      <c r="B96">
        <v>-97.974422334819991</v>
      </c>
      <c r="C96">
        <v>5674.6072330325405</v>
      </c>
      <c r="D96">
        <v>-89.127647619155582</v>
      </c>
      <c r="G96">
        <v>5674.6072330325405</v>
      </c>
      <c r="H96">
        <v>-89.13329620947718</v>
      </c>
      <c r="I96">
        <v>5674.6072330325405</v>
      </c>
      <c r="J96">
        <v>-97.826141536890887</v>
      </c>
    </row>
    <row r="97" spans="1:10" x14ac:dyDescent="0.3">
      <c r="A97">
        <v>5596.593751310349</v>
      </c>
      <c r="B97">
        <v>-97.846495605138401</v>
      </c>
      <c r="C97">
        <v>5596.593751310349</v>
      </c>
      <c r="D97">
        <v>-89.257165389799397</v>
      </c>
      <c r="G97">
        <v>5596.593751310349</v>
      </c>
      <c r="H97">
        <v>-89.280530632195592</v>
      </c>
      <c r="I97">
        <v>5596.593751310349</v>
      </c>
      <c r="J97">
        <v>-97.869089905710894</v>
      </c>
    </row>
    <row r="98" spans="1:10" x14ac:dyDescent="0.3">
      <c r="A98">
        <v>5519.6527849324702</v>
      </c>
      <c r="B98">
        <v>-98.093762840660204</v>
      </c>
      <c r="C98">
        <v>5519.6527849324702</v>
      </c>
      <c r="D98">
        <v>-89.434902037151502</v>
      </c>
      <c r="G98">
        <v>5519.6527849324702</v>
      </c>
      <c r="H98">
        <v>-89.404790304387006</v>
      </c>
      <c r="I98">
        <v>5519.6527849324702</v>
      </c>
      <c r="J98">
        <v>-97.781412353104002</v>
      </c>
    </row>
    <row r="99" spans="1:10" x14ac:dyDescent="0.3">
      <c r="A99">
        <v>5443.76958915047</v>
      </c>
      <c r="B99">
        <v>-97.778527644043805</v>
      </c>
      <c r="C99">
        <v>5443.76958915047</v>
      </c>
      <c r="D99">
        <v>-89.552960214792193</v>
      </c>
      <c r="G99">
        <v>5443.76958915047</v>
      </c>
      <c r="H99">
        <v>-89.538271287922498</v>
      </c>
      <c r="I99">
        <v>5443.76958915047</v>
      </c>
      <c r="J99">
        <v>-97.731781964875807</v>
      </c>
    </row>
    <row r="100" spans="1:10" x14ac:dyDescent="0.3">
      <c r="A100">
        <v>5368.9296219240396</v>
      </c>
      <c r="B100">
        <v>-97.914828059686883</v>
      </c>
      <c r="C100">
        <v>5368.9296219240396</v>
      </c>
      <c r="D100">
        <v>-89.672932081956489</v>
      </c>
      <c r="G100">
        <v>5368.9296219240396</v>
      </c>
      <c r="H100">
        <v>-89.72448467410409</v>
      </c>
      <c r="I100">
        <v>5368.9296219240396</v>
      </c>
      <c r="J100">
        <v>-97.938807767445454</v>
      </c>
    </row>
    <row r="101" spans="1:10" x14ac:dyDescent="0.3">
      <c r="A101">
        <v>5295.1185411342403</v>
      </c>
      <c r="B101">
        <v>-97.847398749970196</v>
      </c>
      <c r="C101">
        <v>5295.1185411342403</v>
      </c>
      <c r="D101">
        <v>-89.893954181028491</v>
      </c>
      <c r="G101">
        <v>5295.1185411342403</v>
      </c>
      <c r="H101">
        <v>-89.858341045309587</v>
      </c>
      <c r="I101">
        <v>5295.1185411342403</v>
      </c>
      <c r="J101">
        <v>-97.871463291135854</v>
      </c>
    </row>
    <row r="102" spans="1:10" x14ac:dyDescent="0.3">
      <c r="A102">
        <v>5222.3222018350298</v>
      </c>
      <c r="B102">
        <v>-97.934425619642596</v>
      </c>
      <c r="C102">
        <v>5222.3222018350298</v>
      </c>
      <c r="D102">
        <v>-89.977425824595301</v>
      </c>
      <c r="G102">
        <v>5222.3222018350298</v>
      </c>
      <c r="H102">
        <v>-89.998517169001289</v>
      </c>
      <c r="I102">
        <v>5222.3222018350298</v>
      </c>
      <c r="J102">
        <v>-97.834668313727391</v>
      </c>
    </row>
    <row r="103" spans="1:10" x14ac:dyDescent="0.3">
      <c r="A103">
        <v>5150.5266535425098</v>
      </c>
      <c r="B103">
        <v>-97.952089753321786</v>
      </c>
      <c r="C103">
        <v>5150.5266535425098</v>
      </c>
      <c r="D103">
        <v>-90.165915933891853</v>
      </c>
      <c r="G103">
        <v>5150.5266535425098</v>
      </c>
      <c r="H103">
        <v>-90.140177854460404</v>
      </c>
      <c r="I103">
        <v>5150.5266535425098</v>
      </c>
      <c r="J103">
        <v>-97.741226804950884</v>
      </c>
    </row>
    <row r="104" spans="1:10" x14ac:dyDescent="0.3">
      <c r="A104">
        <v>5079.7181375615501</v>
      </c>
      <c r="B104">
        <v>-97.851429866132406</v>
      </c>
      <c r="C104">
        <v>5079.7181375615501</v>
      </c>
      <c r="D104">
        <v>-90.356580118647017</v>
      </c>
      <c r="G104">
        <v>5079.7181375615501</v>
      </c>
      <c r="H104">
        <v>-90.296459913874202</v>
      </c>
      <c r="I104">
        <v>5079.7181375615501</v>
      </c>
      <c r="J104">
        <v>-97.84974601094649</v>
      </c>
    </row>
    <row r="105" spans="1:10" x14ac:dyDescent="0.3">
      <c r="A105">
        <v>5009.8830843491096</v>
      </c>
      <c r="B105">
        <v>-97.820412342558598</v>
      </c>
      <c r="C105">
        <v>5009.8830843491096</v>
      </c>
      <c r="D105">
        <v>-90.447662019066001</v>
      </c>
      <c r="G105">
        <v>5009.8830843491096</v>
      </c>
      <c r="H105">
        <v>-90.4017040499632</v>
      </c>
      <c r="I105">
        <v>5009.8830843491096</v>
      </c>
      <c r="J105">
        <v>-97.882694986955883</v>
      </c>
    </row>
    <row r="106" spans="1:10" x14ac:dyDescent="0.3">
      <c r="A106">
        <v>4941.00811091375</v>
      </c>
      <c r="B106">
        <v>-97.843728072895004</v>
      </c>
      <c r="C106">
        <v>4941.00811091375</v>
      </c>
      <c r="D106">
        <v>-90.586179853375086</v>
      </c>
      <c r="G106">
        <v>4941.00811091375</v>
      </c>
      <c r="H106">
        <v>-90.535135954721468</v>
      </c>
      <c r="I106">
        <v>4941.00811091375</v>
      </c>
      <c r="J106">
        <v>-97.852261159686904</v>
      </c>
    </row>
    <row r="107" spans="1:10" x14ac:dyDescent="0.3">
      <c r="A107">
        <v>4873.0800182510302</v>
      </c>
      <c r="B107">
        <v>-97.815819376020997</v>
      </c>
      <c r="C107">
        <v>4873.0800182510302</v>
      </c>
      <c r="D107">
        <v>-90.712561007959906</v>
      </c>
      <c r="G107">
        <v>4873.0800182510302</v>
      </c>
      <c r="H107">
        <v>-90.652369776713698</v>
      </c>
      <c r="I107">
        <v>4873.0800182510302</v>
      </c>
      <c r="J107">
        <v>-97.799118234871017</v>
      </c>
    </row>
    <row r="108" spans="1:10" x14ac:dyDescent="0.3">
      <c r="A108">
        <v>4806.085788814029</v>
      </c>
      <c r="B108">
        <v>-97.874437606387005</v>
      </c>
      <c r="C108">
        <v>4806.085788814029</v>
      </c>
      <c r="D108">
        <v>-90.860233745453598</v>
      </c>
      <c r="G108">
        <v>4806.085788814029</v>
      </c>
      <c r="H108">
        <v>-90.754729391617289</v>
      </c>
      <c r="I108">
        <v>4806.085788814029</v>
      </c>
      <c r="J108">
        <v>-97.710550412325901</v>
      </c>
    </row>
    <row r="109" spans="1:10" x14ac:dyDescent="0.3">
      <c r="A109">
        <v>4740.0125840187502</v>
      </c>
      <c r="B109">
        <v>-97.760937922482583</v>
      </c>
      <c r="C109">
        <v>4740.0125840187502</v>
      </c>
      <c r="D109">
        <v>-90.979570567191303</v>
      </c>
      <c r="G109">
        <v>4740.0125840187502</v>
      </c>
      <c r="H109">
        <v>-90.93334857602369</v>
      </c>
      <c r="I109">
        <v>4740.0125840187502</v>
      </c>
      <c r="J109">
        <v>-97.773528437825206</v>
      </c>
    </row>
    <row r="110" spans="1:10" x14ac:dyDescent="0.3">
      <c r="A110">
        <v>4674.8477417837194</v>
      </c>
      <c r="B110">
        <v>-97.919482421121288</v>
      </c>
      <c r="C110">
        <v>4674.8477417837194</v>
      </c>
      <c r="D110">
        <v>-91.08507248539901</v>
      </c>
      <c r="G110">
        <v>4674.8477417837194</v>
      </c>
      <c r="H110">
        <v>-91.121888211811196</v>
      </c>
      <c r="I110">
        <v>4674.8477417837194</v>
      </c>
      <c r="J110">
        <v>-97.943134763021106</v>
      </c>
    </row>
    <row r="111" spans="1:10" x14ac:dyDescent="0.3">
      <c r="A111">
        <v>4610.5787741035101</v>
      </c>
      <c r="B111">
        <v>-97.992978407919281</v>
      </c>
      <c r="C111">
        <v>4610.5787741035101</v>
      </c>
      <c r="D111">
        <v>-91.231019060765803</v>
      </c>
      <c r="G111">
        <v>4610.5787741035101</v>
      </c>
      <c r="H111">
        <v>-91.181136827930303</v>
      </c>
      <c r="I111">
        <v>4610.5787741035101</v>
      </c>
      <c r="J111">
        <v>-97.756898959363397</v>
      </c>
    </row>
    <row r="112" spans="1:10" x14ac:dyDescent="0.3">
      <c r="A112">
        <v>4547.1933646555199</v>
      </c>
      <c r="B112">
        <v>-97.919010925344082</v>
      </c>
      <c r="C112">
        <v>4547.1933646555199</v>
      </c>
      <c r="D112">
        <v>-91.302783984363373</v>
      </c>
      <c r="G112">
        <v>4547.1933646555199</v>
      </c>
      <c r="H112">
        <v>-91.265509429795301</v>
      </c>
      <c r="I112">
        <v>4547.1933646555199</v>
      </c>
      <c r="J112">
        <v>-97.840935839829228</v>
      </c>
    </row>
    <row r="113" spans="1:10" x14ac:dyDescent="0.3">
      <c r="A113">
        <v>4484.6793664397801</v>
      </c>
      <c r="B113">
        <v>-97.962454761791903</v>
      </c>
      <c r="C113">
        <v>4484.6793664397801</v>
      </c>
      <c r="D113">
        <v>-91.496309210516173</v>
      </c>
      <c r="G113">
        <v>4484.6793664397801</v>
      </c>
      <c r="H113">
        <v>-91.431811533102803</v>
      </c>
      <c r="I113">
        <v>4484.6793664397801</v>
      </c>
      <c r="J113">
        <v>-97.847496862674404</v>
      </c>
    </row>
    <row r="114" spans="1:10" x14ac:dyDescent="0.3">
      <c r="A114">
        <v>4423.024799451071</v>
      </c>
      <c r="B114">
        <v>-97.82324627135489</v>
      </c>
      <c r="C114">
        <v>4423.024799451071</v>
      </c>
      <c r="D114">
        <v>-91.490236621314878</v>
      </c>
      <c r="G114">
        <v>4423.024799451071</v>
      </c>
      <c r="H114">
        <v>-91.576302054844007</v>
      </c>
      <c r="I114">
        <v>4423.024799451071</v>
      </c>
      <c r="J114">
        <v>-97.878509818914878</v>
      </c>
    </row>
    <row r="115" spans="1:10" x14ac:dyDescent="0.3">
      <c r="A115">
        <v>4362.2178483831294</v>
      </c>
      <c r="B115">
        <v>-97.803596365352973</v>
      </c>
      <c r="C115">
        <v>4362.2178483831294</v>
      </c>
      <c r="D115">
        <v>-91.720984215956307</v>
      </c>
      <c r="G115">
        <v>4362.2178483831294</v>
      </c>
      <c r="H115">
        <v>-91.684473137603206</v>
      </c>
      <c r="I115">
        <v>4362.2178483831294</v>
      </c>
      <c r="J115">
        <v>-97.902410854354102</v>
      </c>
    </row>
    <row r="116" spans="1:10" x14ac:dyDescent="0.3">
      <c r="A116">
        <v>4302.2468603644202</v>
      </c>
      <c r="B116">
        <v>-97.820614900313601</v>
      </c>
      <c r="C116">
        <v>4302.2468603644202</v>
      </c>
      <c r="D116">
        <v>-91.847102984992404</v>
      </c>
      <c r="G116">
        <v>4302.2468603644202</v>
      </c>
      <c r="H116">
        <v>-91.829093788026597</v>
      </c>
      <c r="I116">
        <v>4302.2468603644202</v>
      </c>
      <c r="J116">
        <v>-97.831436785572606</v>
      </c>
    </row>
    <row r="117" spans="1:10" x14ac:dyDescent="0.3">
      <c r="A117">
        <v>4243.1003427249898</v>
      </c>
      <c r="B117">
        <v>-97.843100809991853</v>
      </c>
      <c r="C117">
        <v>4243.1003427249898</v>
      </c>
      <c r="D117">
        <v>-91.969040056651593</v>
      </c>
      <c r="G117">
        <v>4243.1003427249898</v>
      </c>
      <c r="H117">
        <v>-91.971280749129207</v>
      </c>
      <c r="I117">
        <v>4243.1003427249898</v>
      </c>
      <c r="J117">
        <v>-97.867012325176304</v>
      </c>
    </row>
    <row r="118" spans="1:10" x14ac:dyDescent="0.3">
      <c r="A118">
        <v>4184.7669607940406</v>
      </c>
      <c r="B118">
        <v>-97.783926900193407</v>
      </c>
      <c r="C118">
        <v>4184.7669607940406</v>
      </c>
      <c r="D118">
        <v>-92.069354319579389</v>
      </c>
      <c r="G118">
        <v>4184.7669607940406</v>
      </c>
      <c r="H118">
        <v>-92.050332053026068</v>
      </c>
      <c r="I118">
        <v>4184.7669607940406</v>
      </c>
      <c r="J118">
        <v>-97.861034263482694</v>
      </c>
    </row>
    <row r="119" spans="1:10" x14ac:dyDescent="0.3">
      <c r="A119">
        <v>4127.2355357278002</v>
      </c>
      <c r="B119">
        <v>-97.856576694648993</v>
      </c>
      <c r="C119">
        <v>4127.2355357278002</v>
      </c>
      <c r="D119">
        <v>-92.115533169312101</v>
      </c>
      <c r="G119">
        <v>4127.2355357278002</v>
      </c>
      <c r="H119">
        <v>-92.178958050169598</v>
      </c>
      <c r="I119">
        <v>4127.2355357278002</v>
      </c>
      <c r="J119">
        <v>-97.739118913153902</v>
      </c>
    </row>
    <row r="120" spans="1:10" x14ac:dyDescent="0.3">
      <c r="A120">
        <v>4070.4950423672399</v>
      </c>
      <c r="B120">
        <v>-97.802613332979817</v>
      </c>
      <c r="C120">
        <v>4070.4950423672399</v>
      </c>
      <c r="D120">
        <v>-92.332122959629203</v>
      </c>
      <c r="G120">
        <v>4070.4950423672399</v>
      </c>
      <c r="H120">
        <v>-92.274011875959999</v>
      </c>
      <c r="I120">
        <v>4070.4950423672399</v>
      </c>
      <c r="J120">
        <v>-97.744011157865998</v>
      </c>
    </row>
    <row r="121" spans="1:10" x14ac:dyDescent="0.3">
      <c r="A121">
        <v>4014.5346071252197</v>
      </c>
      <c r="B121">
        <v>-97.860781728168305</v>
      </c>
      <c r="C121">
        <v>4014.5346071252197</v>
      </c>
      <c r="D121">
        <v>-92.376577164541104</v>
      </c>
      <c r="G121">
        <v>4014.5346071252197</v>
      </c>
      <c r="H121">
        <v>-92.400995242718196</v>
      </c>
      <c r="I121">
        <v>4014.5346071252197</v>
      </c>
      <c r="J121">
        <v>-97.903902708542802</v>
      </c>
    </row>
    <row r="122" spans="1:10" x14ac:dyDescent="0.3">
      <c r="A122">
        <v>3959.3435059027397</v>
      </c>
      <c r="B122">
        <v>-97.801191788557105</v>
      </c>
      <c r="C122">
        <v>3959.3435059027397</v>
      </c>
      <c r="D122">
        <v>-92.465409452267053</v>
      </c>
      <c r="G122">
        <v>3959.3435059027397</v>
      </c>
      <c r="H122">
        <v>-92.498100450621592</v>
      </c>
      <c r="I122">
        <v>3959.3435059027397</v>
      </c>
      <c r="J122">
        <v>-97.773331381784189</v>
      </c>
    </row>
    <row r="123" spans="1:10" x14ac:dyDescent="0.3">
      <c r="A123">
        <v>3904.9111620337999</v>
      </c>
      <c r="B123">
        <v>-97.924513974356174</v>
      </c>
      <c r="C123">
        <v>3904.9111620337999</v>
      </c>
      <c r="D123">
        <v>-92.600212847826683</v>
      </c>
      <c r="G123">
        <v>3904.9111620337999</v>
      </c>
      <c r="H123">
        <v>-92.580740941381677</v>
      </c>
      <c r="I123">
        <v>3904.9111620337999</v>
      </c>
      <c r="J123">
        <v>-97.858612853508973</v>
      </c>
    </row>
    <row r="124" spans="1:10" x14ac:dyDescent="0.3">
      <c r="A124">
        <v>3851.2271442584711</v>
      </c>
      <c r="B124">
        <v>-97.927593219783503</v>
      </c>
      <c r="C124">
        <v>3851.2271442584711</v>
      </c>
      <c r="D124">
        <v>-92.704814449712302</v>
      </c>
      <c r="G124">
        <v>3851.2271442584711</v>
      </c>
      <c r="H124">
        <v>-92.699175561331828</v>
      </c>
      <c r="I124">
        <v>3851.2271442584711</v>
      </c>
      <c r="J124">
        <v>-97.8399258540841</v>
      </c>
    </row>
    <row r="125" spans="1:10" x14ac:dyDescent="0.3">
      <c r="A125">
        <v>3798.28116472394</v>
      </c>
      <c r="B125">
        <v>-97.818345918019091</v>
      </c>
      <c r="C125">
        <v>3798.28116472394</v>
      </c>
      <c r="D125">
        <v>-92.804322147793599</v>
      </c>
      <c r="G125">
        <v>3798.28116472394</v>
      </c>
      <c r="H125">
        <v>-92.860923033695002</v>
      </c>
      <c r="I125">
        <v>3798.28116472394</v>
      </c>
      <c r="J125">
        <v>-97.765046188575866</v>
      </c>
    </row>
    <row r="126" spans="1:10" x14ac:dyDescent="0.3">
      <c r="A126">
        <v>3746.063077012951</v>
      </c>
      <c r="B126">
        <v>-97.900694078817423</v>
      </c>
      <c r="C126">
        <v>3746.063077012951</v>
      </c>
      <c r="D126">
        <v>-92.836987510725294</v>
      </c>
      <c r="G126">
        <v>3746.063077012951</v>
      </c>
      <c r="H126">
        <v>-92.897572698449693</v>
      </c>
      <c r="I126">
        <v>3746.063077012951</v>
      </c>
      <c r="J126">
        <v>-97.826213552985209</v>
      </c>
    </row>
    <row r="127" spans="1:10" x14ac:dyDescent="0.3">
      <c r="A127">
        <v>3694.5628741993401</v>
      </c>
      <c r="B127">
        <v>-97.842052543320804</v>
      </c>
      <c r="C127">
        <v>3694.5628741993401</v>
      </c>
      <c r="D127">
        <v>-93.082454072065104</v>
      </c>
      <c r="G127">
        <v>3694.5628741993401</v>
      </c>
      <c r="H127">
        <v>-93.011629573632902</v>
      </c>
      <c r="I127">
        <v>3694.5628741993401</v>
      </c>
      <c r="J127">
        <v>-97.750808386269796</v>
      </c>
    </row>
    <row r="128" spans="1:10" x14ac:dyDescent="0.3">
      <c r="A128">
        <v>3643.7706869304002</v>
      </c>
      <c r="B128">
        <v>-97.899797840847</v>
      </c>
      <c r="C128">
        <v>3643.7706869304002</v>
      </c>
      <c r="D128">
        <v>-93.094510845897105</v>
      </c>
      <c r="G128">
        <v>3643.7706869304002</v>
      </c>
      <c r="H128">
        <v>-93.107338101469281</v>
      </c>
      <c r="I128">
        <v>3643.7706869304002</v>
      </c>
      <c r="J128">
        <v>-97.74859407011769</v>
      </c>
    </row>
    <row r="129" spans="1:10" x14ac:dyDescent="0.3">
      <c r="A129">
        <v>3593.6767815355097</v>
      </c>
      <c r="B129">
        <v>-97.795291197146597</v>
      </c>
      <c r="C129">
        <v>3593.6767815355097</v>
      </c>
      <c r="D129">
        <v>-93.2410109805042</v>
      </c>
      <c r="G129">
        <v>3593.6767815355097</v>
      </c>
      <c r="H129">
        <v>-93.275530944207105</v>
      </c>
      <c r="I129">
        <v>3593.6767815355097</v>
      </c>
      <c r="J129">
        <v>-97.676022729742996</v>
      </c>
    </row>
    <row r="130" spans="1:10" x14ac:dyDescent="0.3">
      <c r="A130">
        <v>3544.271558160789</v>
      </c>
      <c r="B130">
        <v>-97.766129075203196</v>
      </c>
      <c r="C130">
        <v>3544.271558160789</v>
      </c>
      <c r="D130">
        <v>-93.256710302754684</v>
      </c>
      <c r="G130">
        <v>3544.271558160789</v>
      </c>
      <c r="H130">
        <v>-93.335031703516094</v>
      </c>
      <c r="I130">
        <v>3544.271558160789</v>
      </c>
      <c r="J130">
        <v>-97.801303568810269</v>
      </c>
    </row>
    <row r="131" spans="1:10" x14ac:dyDescent="0.3">
      <c r="A131">
        <v>3495.54554892943</v>
      </c>
      <c r="B131">
        <v>-97.889188645959507</v>
      </c>
      <c r="C131">
        <v>3495.54554892943</v>
      </c>
      <c r="D131">
        <v>-93.403171367368628</v>
      </c>
      <c r="G131">
        <v>3495.54554892943</v>
      </c>
      <c r="H131">
        <v>-93.404552539057278</v>
      </c>
      <c r="I131">
        <v>3495.54554892943</v>
      </c>
      <c r="J131">
        <v>-97.827945369657101</v>
      </c>
    </row>
    <row r="132" spans="1:10" x14ac:dyDescent="0.3">
      <c r="A132">
        <v>3447.4894161273</v>
      </c>
      <c r="B132">
        <v>-97.918975823627207</v>
      </c>
      <c r="C132">
        <v>3447.4894161273</v>
      </c>
      <c r="D132">
        <v>-93.479664322640403</v>
      </c>
      <c r="G132">
        <v>3447.4894161273</v>
      </c>
      <c r="H132">
        <v>-93.537015566531394</v>
      </c>
      <c r="I132">
        <v>3447.4894161273</v>
      </c>
      <c r="J132">
        <v>-97.803905978494797</v>
      </c>
    </row>
    <row r="133" spans="1:10" x14ac:dyDescent="0.3">
      <c r="A133">
        <v>3400.0939504134999</v>
      </c>
      <c r="B133">
        <v>-97.771766802341901</v>
      </c>
      <c r="C133">
        <v>3400.0939504134999</v>
      </c>
      <c r="D133">
        <v>-93.601644054830089</v>
      </c>
      <c r="G133">
        <v>3400.0939504134999</v>
      </c>
      <c r="H133">
        <v>-93.620081746897</v>
      </c>
      <c r="I133">
        <v>3400.0939504134999</v>
      </c>
      <c r="J133">
        <v>-97.7343740514887</v>
      </c>
    </row>
    <row r="134" spans="1:10" x14ac:dyDescent="0.3">
      <c r="A134">
        <v>3353.3500690554597</v>
      </c>
      <c r="B134">
        <v>-97.882517889373418</v>
      </c>
      <c r="C134">
        <v>3353.3500690554597</v>
      </c>
      <c r="D134">
        <v>-93.686249573810585</v>
      </c>
      <c r="G134">
        <v>3353.3500690554597</v>
      </c>
      <c r="H134">
        <v>-93.762170835534306</v>
      </c>
      <c r="I134">
        <v>3353.3500690554597</v>
      </c>
      <c r="J134">
        <v>-97.819212470180716</v>
      </c>
    </row>
    <row r="135" spans="1:10" x14ac:dyDescent="0.3">
      <c r="A135">
        <v>3307.2488141884201</v>
      </c>
      <c r="B135">
        <v>-97.803558851442304</v>
      </c>
      <c r="C135">
        <v>3307.2488141884201</v>
      </c>
      <c r="D135">
        <v>-93.774382371801792</v>
      </c>
      <c r="G135">
        <v>3307.2488141884201</v>
      </c>
      <c r="H135">
        <v>-93.744607011662595</v>
      </c>
      <c r="I135">
        <v>3307.2488141884201</v>
      </c>
      <c r="J135">
        <v>-97.805433487124205</v>
      </c>
    </row>
    <row r="136" spans="1:10" x14ac:dyDescent="0.3">
      <c r="A136">
        <v>3261.7813510987289</v>
      </c>
      <c r="B136">
        <v>-97.787213567652174</v>
      </c>
      <c r="C136">
        <v>3261.7813510987289</v>
      </c>
      <c r="D136">
        <v>-93.942732985598695</v>
      </c>
      <c r="G136">
        <v>3261.7813510987289</v>
      </c>
      <c r="H136">
        <v>-93.887336446179091</v>
      </c>
      <c r="I136">
        <v>3261.7813510987289</v>
      </c>
      <c r="J136">
        <v>-97.850292536681081</v>
      </c>
    </row>
    <row r="137" spans="1:10" x14ac:dyDescent="0.3">
      <c r="A137">
        <v>3216.9389665307694</v>
      </c>
      <c r="B137">
        <v>-97.823929376633501</v>
      </c>
      <c r="C137">
        <v>3216.9389665307694</v>
      </c>
      <c r="D137">
        <v>-93.920590246503281</v>
      </c>
      <c r="G137">
        <v>3216.9389665307694</v>
      </c>
      <c r="H137">
        <v>-93.939110190697491</v>
      </c>
      <c r="I137">
        <v>3216.9389665307694</v>
      </c>
      <c r="J137">
        <v>-97.74641880643459</v>
      </c>
    </row>
    <row r="138" spans="1:10" x14ac:dyDescent="0.3">
      <c r="A138">
        <v>3172.7130670172405</v>
      </c>
      <c r="B138">
        <v>-97.831936125230698</v>
      </c>
      <c r="C138">
        <v>3172.7130670172405</v>
      </c>
      <c r="D138">
        <v>-94.010739730389773</v>
      </c>
      <c r="G138">
        <v>3172.7130670172405</v>
      </c>
      <c r="H138">
        <v>-94.051938990072401</v>
      </c>
      <c r="I138">
        <v>3172.7130670172405</v>
      </c>
      <c r="J138">
        <v>-97.797662824296992</v>
      </c>
    </row>
    <row r="139" spans="1:10" x14ac:dyDescent="0.3">
      <c r="A139">
        <v>3129.0951772322501</v>
      </c>
      <c r="B139">
        <v>-97.874163707229471</v>
      </c>
      <c r="C139">
        <v>3129.0951772322501</v>
      </c>
      <c r="D139">
        <v>-94.068422355903806</v>
      </c>
      <c r="G139">
        <v>3129.0951772322501</v>
      </c>
      <c r="H139">
        <v>-94.0959569994736</v>
      </c>
      <c r="I139">
        <v>3129.0951772322501</v>
      </c>
      <c r="J139">
        <v>-97.781858465868282</v>
      </c>
    </row>
    <row r="140" spans="1:10" x14ac:dyDescent="0.3">
      <c r="A140">
        <v>3086.07693836719</v>
      </c>
      <c r="B140">
        <v>-97.840720472679607</v>
      </c>
      <c r="C140">
        <v>3086.07693836719</v>
      </c>
      <c r="D140">
        <v>-94.132392654193595</v>
      </c>
      <c r="G140">
        <v>3086.07693836719</v>
      </c>
      <c r="H140">
        <v>-94.255210025991104</v>
      </c>
      <c r="I140">
        <v>3086.07693836719</v>
      </c>
      <c r="J140">
        <v>-97.786986022735007</v>
      </c>
    </row>
    <row r="141" spans="1:10" x14ac:dyDescent="0.3">
      <c r="A141">
        <v>3043.6501065288294</v>
      </c>
      <c r="B141">
        <v>-97.881990301969992</v>
      </c>
      <c r="C141">
        <v>3043.6501065288294</v>
      </c>
      <c r="D141">
        <v>-94.298342516868601</v>
      </c>
      <c r="G141">
        <v>3043.6501065288294</v>
      </c>
      <c r="H141">
        <v>-94.303409157476196</v>
      </c>
      <c r="I141">
        <v>3043.6501065288294</v>
      </c>
      <c r="J141">
        <v>-97.657658320452882</v>
      </c>
    </row>
    <row r="142" spans="1:10" x14ac:dyDescent="0.3">
      <c r="A142">
        <v>3001.80655115953</v>
      </c>
      <c r="B142">
        <v>-97.851756348230083</v>
      </c>
      <c r="C142">
        <v>3001.80655115953</v>
      </c>
      <c r="D142">
        <v>-94.345635684620902</v>
      </c>
      <c r="G142">
        <v>3001.80655115953</v>
      </c>
      <c r="H142">
        <v>-94.399800781260993</v>
      </c>
      <c r="I142">
        <v>3001.80655115953</v>
      </c>
      <c r="J142">
        <v>-97.72163857857619</v>
      </c>
    </row>
    <row r="143" spans="1:10" x14ac:dyDescent="0.3">
      <c r="A143">
        <v>2960.5382534790701</v>
      </c>
      <c r="B143">
        <v>-97.766983540368628</v>
      </c>
      <c r="C143">
        <v>2960.5382534790701</v>
      </c>
      <c r="D143">
        <v>-94.454255646536808</v>
      </c>
      <c r="G143">
        <v>2960.5382534790701</v>
      </c>
      <c r="H143">
        <v>-94.47988146413519</v>
      </c>
      <c r="I143">
        <v>2960.5382534790701</v>
      </c>
      <c r="J143">
        <v>-97.707163050890301</v>
      </c>
    </row>
    <row r="144" spans="1:10" x14ac:dyDescent="0.3">
      <c r="A144">
        <v>2919.8373049480101</v>
      </c>
      <c r="B144">
        <v>-97.821490174709794</v>
      </c>
      <c r="C144">
        <v>2919.8373049480101</v>
      </c>
      <c r="D144">
        <v>-94.537435469039806</v>
      </c>
      <c r="G144">
        <v>2919.8373049480101</v>
      </c>
      <c r="H144">
        <v>-94.530022318616801</v>
      </c>
      <c r="I144">
        <v>2919.8373049480101</v>
      </c>
      <c r="J144">
        <v>-97.840379807664974</v>
      </c>
    </row>
    <row r="145" spans="1:10" x14ac:dyDescent="0.3">
      <c r="A145">
        <v>2879.6959057520689</v>
      </c>
      <c r="B145">
        <v>-97.869676319597417</v>
      </c>
      <c r="C145">
        <v>2879.6959057520689</v>
      </c>
      <c r="D145">
        <v>-94.566706093467204</v>
      </c>
      <c r="G145">
        <v>2879.6959057520689</v>
      </c>
      <c r="H145">
        <v>-94.534952467597677</v>
      </c>
      <c r="I145">
        <v>2879.6959057520689</v>
      </c>
      <c r="J145">
        <v>-97.770458541043197</v>
      </c>
    </row>
    <row r="146" spans="1:10" x14ac:dyDescent="0.3">
      <c r="A146">
        <v>2840.10636330742</v>
      </c>
      <c r="B146">
        <v>-97.827590115740477</v>
      </c>
      <c r="C146">
        <v>2840.10636330742</v>
      </c>
      <c r="D146">
        <v>-94.625476677309507</v>
      </c>
      <c r="G146">
        <v>2840.10636330742</v>
      </c>
      <c r="H146">
        <v>-94.756462234513606</v>
      </c>
      <c r="I146">
        <v>2840.10636330742</v>
      </c>
      <c r="J146">
        <v>-97.801022830115102</v>
      </c>
    </row>
    <row r="147" spans="1:10" x14ac:dyDescent="0.3">
      <c r="A147">
        <v>2801.0610907864898</v>
      </c>
      <c r="B147">
        <v>-97.819282838626592</v>
      </c>
      <c r="C147">
        <v>2801.0610907864898</v>
      </c>
      <c r="D147">
        <v>-94.754119965449206</v>
      </c>
      <c r="G147">
        <v>2801.0610907864898</v>
      </c>
      <c r="H147">
        <v>-94.723863865245804</v>
      </c>
      <c r="I147">
        <v>2801.0610907864898</v>
      </c>
      <c r="J147">
        <v>-97.812218348400791</v>
      </c>
    </row>
    <row r="148" spans="1:10" x14ac:dyDescent="0.3">
      <c r="A148">
        <v>2762.5526056640701</v>
      </c>
      <c r="B148">
        <v>-97.732576900920193</v>
      </c>
      <c r="C148">
        <v>2762.5526056640701</v>
      </c>
      <c r="D148">
        <v>-94.748415250602307</v>
      </c>
      <c r="G148">
        <v>2762.5526056640701</v>
      </c>
      <c r="H148">
        <v>-94.828065589511681</v>
      </c>
      <c r="I148">
        <v>2762.5526056640701</v>
      </c>
      <c r="J148">
        <v>-97.7903311744994</v>
      </c>
    </row>
    <row r="149" spans="1:10" x14ac:dyDescent="0.3">
      <c r="A149">
        <v>2724.5735282833402</v>
      </c>
      <c r="B149">
        <v>-97.918458903381605</v>
      </c>
      <c r="C149">
        <v>2724.5735282833402</v>
      </c>
      <c r="D149">
        <v>-94.888070574231193</v>
      </c>
      <c r="G149">
        <v>2724.5735282833402</v>
      </c>
      <c r="H149">
        <v>-94.868274844375193</v>
      </c>
      <c r="I149">
        <v>2724.5735282833402</v>
      </c>
      <c r="J149">
        <v>-97.761830421355597</v>
      </c>
    </row>
    <row r="150" spans="1:10" x14ac:dyDescent="0.3">
      <c r="A150">
        <v>2687.1165804416996</v>
      </c>
      <c r="B150">
        <v>-97.742841992554801</v>
      </c>
      <c r="C150">
        <v>2687.1165804416996</v>
      </c>
      <c r="D150">
        <v>-94.921962239590414</v>
      </c>
      <c r="G150">
        <v>2687.1165804416996</v>
      </c>
      <c r="H150">
        <v>-94.865649899519283</v>
      </c>
      <c r="I150">
        <v>2687.1165804416996</v>
      </c>
      <c r="J150">
        <v>-97.644577144698886</v>
      </c>
    </row>
    <row r="151" spans="1:10" x14ac:dyDescent="0.3">
      <c r="A151">
        <v>2650.1745839959599</v>
      </c>
      <c r="B151">
        <v>-97.815516926465605</v>
      </c>
      <c r="C151">
        <v>2650.1745839959599</v>
      </c>
      <c r="D151">
        <v>-95.039029913024876</v>
      </c>
      <c r="G151">
        <v>2650.1745839959599</v>
      </c>
      <c r="H151">
        <v>-94.958537324167011</v>
      </c>
      <c r="I151">
        <v>2650.1745839959599</v>
      </c>
      <c r="J151">
        <v>-97.747855147039886</v>
      </c>
    </row>
    <row r="152" spans="1:10" x14ac:dyDescent="0.3">
      <c r="A152">
        <v>2613.7404594867398</v>
      </c>
      <c r="B152">
        <v>-97.901673397630077</v>
      </c>
      <c r="C152">
        <v>2613.7404594867398</v>
      </c>
      <c r="D152">
        <v>-95.056078274101452</v>
      </c>
      <c r="G152">
        <v>2613.7404594867398</v>
      </c>
      <c r="H152">
        <v>-95.117713470403871</v>
      </c>
      <c r="I152">
        <v>2613.7404594867398</v>
      </c>
      <c r="J152">
        <v>-97.739379074339396</v>
      </c>
    </row>
    <row r="153" spans="1:10" x14ac:dyDescent="0.3">
      <c r="A153">
        <v>2577.80722478183</v>
      </c>
      <c r="B153">
        <v>-97.781532073266078</v>
      </c>
      <c r="C153">
        <v>2577.80722478183</v>
      </c>
      <c r="D153">
        <v>-95.16467014244499</v>
      </c>
      <c r="G153">
        <v>2577.80722478183</v>
      </c>
      <c r="H153">
        <v>-95.084565569413613</v>
      </c>
      <c r="I153">
        <v>2577.80722478183</v>
      </c>
      <c r="J153">
        <v>-97.7572924742379</v>
      </c>
    </row>
    <row r="154" spans="1:10" x14ac:dyDescent="0.3">
      <c r="A154">
        <v>2542.3679937380998</v>
      </c>
      <c r="B154">
        <v>-97.763332912388407</v>
      </c>
      <c r="C154">
        <v>2542.3679937380998</v>
      </c>
      <c r="D154">
        <v>-95.174240897289408</v>
      </c>
      <c r="G154">
        <v>2542.3679937380998</v>
      </c>
      <c r="H154">
        <v>-95.247580685958596</v>
      </c>
      <c r="I154">
        <v>2542.3679937380998</v>
      </c>
      <c r="J154">
        <v>-97.758176130925193</v>
      </c>
    </row>
    <row r="155" spans="1:10" x14ac:dyDescent="0.3">
      <c r="A155">
        <v>2507.4159748818897</v>
      </c>
      <c r="B155">
        <v>-97.838190874151678</v>
      </c>
      <c r="C155">
        <v>2507.4159748818897</v>
      </c>
      <c r="D155">
        <v>-95.309171188328989</v>
      </c>
      <c r="G155">
        <v>2507.4159748818897</v>
      </c>
      <c r="H155">
        <v>-95.194119579581084</v>
      </c>
      <c r="I155">
        <v>2507.4159748818897</v>
      </c>
      <c r="J155">
        <v>-97.723367742261303</v>
      </c>
    </row>
    <row r="156" spans="1:10" x14ac:dyDescent="0.3">
      <c r="A156">
        <v>2472.9444701074799</v>
      </c>
      <c r="B156">
        <v>-97.757497882022477</v>
      </c>
      <c r="C156">
        <v>2472.9444701074799</v>
      </c>
      <c r="D156">
        <v>-95.287089429822572</v>
      </c>
      <c r="G156">
        <v>2472.9444701074799</v>
      </c>
      <c r="H156">
        <v>-95.391049101776076</v>
      </c>
      <c r="I156">
        <v>2472.9444701074799</v>
      </c>
      <c r="J156">
        <v>-97.641919894634881</v>
      </c>
    </row>
    <row r="157" spans="1:10" x14ac:dyDescent="0.3">
      <c r="A157">
        <v>2438.94687339352</v>
      </c>
      <c r="B157">
        <v>-97.785840496426388</v>
      </c>
      <c r="C157">
        <v>2438.94687339352</v>
      </c>
      <c r="D157">
        <v>-95.334959144520468</v>
      </c>
      <c r="G157">
        <v>2438.94687339352</v>
      </c>
      <c r="H157">
        <v>-95.496441083160803</v>
      </c>
      <c r="I157">
        <v>2438.94687339352</v>
      </c>
      <c r="J157">
        <v>-97.659772397819594</v>
      </c>
    </row>
    <row r="158" spans="1:10" x14ac:dyDescent="0.3">
      <c r="A158">
        <v>2405.4166695370695</v>
      </c>
      <c r="B158">
        <v>-97.81418450479741</v>
      </c>
      <c r="C158">
        <v>2405.4166695370695</v>
      </c>
      <c r="D158">
        <v>-95.469562449793003</v>
      </c>
      <c r="G158">
        <v>2405.4166695370695</v>
      </c>
      <c r="H158">
        <v>-95.504083649360084</v>
      </c>
      <c r="I158">
        <v>2405.4166695370695</v>
      </c>
      <c r="J158">
        <v>-97.769779782311502</v>
      </c>
    </row>
    <row r="159" spans="1:10" x14ac:dyDescent="0.3">
      <c r="A159">
        <v>2372.347432905</v>
      </c>
      <c r="B159">
        <v>-97.743269175481601</v>
      </c>
      <c r="C159">
        <v>2372.347432905</v>
      </c>
      <c r="D159">
        <v>-95.558175943289214</v>
      </c>
      <c r="G159">
        <v>2372.347432905</v>
      </c>
      <c r="H159">
        <v>-95.437428953349269</v>
      </c>
      <c r="I159">
        <v>2372.347432905</v>
      </c>
      <c r="J159">
        <v>-97.722155203895397</v>
      </c>
    </row>
    <row r="160" spans="1:10" x14ac:dyDescent="0.3">
      <c r="A160">
        <v>2339.7328262026599</v>
      </c>
      <c r="B160">
        <v>-97.842704388737275</v>
      </c>
      <c r="C160">
        <v>2339.7328262026599</v>
      </c>
      <c r="D160">
        <v>-95.475767563509905</v>
      </c>
      <c r="G160">
        <v>2339.7328262026599</v>
      </c>
      <c r="H160">
        <v>-95.435710188497282</v>
      </c>
      <c r="I160">
        <v>2339.7328262026599</v>
      </c>
      <c r="J160">
        <v>-97.872494311906493</v>
      </c>
    </row>
    <row r="161" spans="1:10" x14ac:dyDescent="0.3">
      <c r="A161">
        <v>2307.5665992593599</v>
      </c>
      <c r="B161">
        <v>-97.864777932162482</v>
      </c>
      <c r="C161">
        <v>2307.5665992593599</v>
      </c>
      <c r="D161">
        <v>-95.481942337766796</v>
      </c>
      <c r="G161">
        <v>2307.5665992593599</v>
      </c>
      <c r="H161">
        <v>-95.772583515940397</v>
      </c>
      <c r="I161">
        <v>2307.5665992593599</v>
      </c>
      <c r="J161">
        <v>-97.802442811407602</v>
      </c>
    </row>
    <row r="162" spans="1:10" x14ac:dyDescent="0.3">
      <c r="A162">
        <v>2275.8425878306698</v>
      </c>
      <c r="B162">
        <v>-97.863156955742596</v>
      </c>
      <c r="C162">
        <v>2275.8425878306698</v>
      </c>
      <c r="D162">
        <v>-95.697684257008078</v>
      </c>
      <c r="G162">
        <v>2275.8425878306698</v>
      </c>
      <c r="H162">
        <v>-95.646652959893899</v>
      </c>
      <c r="I162">
        <v>2275.8425878306698</v>
      </c>
      <c r="J162">
        <v>-97.824854388984804</v>
      </c>
    </row>
    <row r="163" spans="1:10" x14ac:dyDescent="0.3">
      <c r="A163">
        <v>2244.5547124170598</v>
      </c>
      <c r="B163">
        <v>-97.883017077925302</v>
      </c>
      <c r="C163">
        <v>2244.5547124170598</v>
      </c>
      <c r="D163">
        <v>-95.6565365464227</v>
      </c>
      <c r="G163">
        <v>2244.5547124170598</v>
      </c>
      <c r="H163">
        <v>-95.689334324331597</v>
      </c>
      <c r="I163">
        <v>2244.5547124170598</v>
      </c>
      <c r="J163">
        <v>-97.786576131852101</v>
      </c>
    </row>
    <row r="164" spans="1:10" x14ac:dyDescent="0.3">
      <c r="A164">
        <v>2213.6969770988603</v>
      </c>
      <c r="B164">
        <v>-97.858724301138253</v>
      </c>
      <c r="C164">
        <v>2213.6969770988603</v>
      </c>
      <c r="D164">
        <v>-95.755544949508604</v>
      </c>
      <c r="G164">
        <v>2213.6969770988603</v>
      </c>
      <c r="H164">
        <v>-95.771276808792607</v>
      </c>
      <c r="I164">
        <v>2213.6969770988603</v>
      </c>
      <c r="J164">
        <v>-97.689588954022014</v>
      </c>
    </row>
    <row r="165" spans="1:10" x14ac:dyDescent="0.3">
      <c r="A165">
        <v>2183.2634683872702</v>
      </c>
      <c r="B165">
        <v>-97.794878414829199</v>
      </c>
      <c r="C165">
        <v>2183.2634683872702</v>
      </c>
      <c r="D165">
        <v>-95.735040624183085</v>
      </c>
      <c r="G165">
        <v>2183.2634683872702</v>
      </c>
      <c r="H165">
        <v>-95.881050090972991</v>
      </c>
      <c r="I165">
        <v>2183.2634683872702</v>
      </c>
      <c r="J165">
        <v>-97.725604453473281</v>
      </c>
    </row>
    <row r="166" spans="1:10" x14ac:dyDescent="0.3">
      <c r="A166">
        <v>2153.2483540910202</v>
      </c>
      <c r="B166">
        <v>-97.803586082470574</v>
      </c>
      <c r="C166">
        <v>2153.2483540910202</v>
      </c>
      <c r="D166">
        <v>-95.786346338602883</v>
      </c>
      <c r="G166">
        <v>2153.2483540910202</v>
      </c>
      <c r="H166">
        <v>-95.950181522529277</v>
      </c>
      <c r="I166">
        <v>2153.2483540910202</v>
      </c>
      <c r="J166">
        <v>-97.77584813263347</v>
      </c>
    </row>
    <row r="167" spans="1:10" x14ac:dyDescent="0.3">
      <c r="A167">
        <v>2123.6458821988094</v>
      </c>
      <c r="B167">
        <v>-97.784721809438594</v>
      </c>
      <c r="C167">
        <v>2123.6458821988094</v>
      </c>
      <c r="D167">
        <v>-95.833269578539202</v>
      </c>
      <c r="G167">
        <v>2123.6458821988094</v>
      </c>
      <c r="H167">
        <v>-95.947911165578887</v>
      </c>
      <c r="I167">
        <v>2123.6458821988094</v>
      </c>
      <c r="J167">
        <v>-97.880849235428414</v>
      </c>
    </row>
    <row r="168" spans="1:10" x14ac:dyDescent="0.3">
      <c r="A168">
        <v>2094.4503797769094</v>
      </c>
      <c r="B168">
        <v>-97.794480433584795</v>
      </c>
      <c r="C168">
        <v>2094.4503797769094</v>
      </c>
      <c r="D168">
        <v>-95.825447051145602</v>
      </c>
      <c r="G168">
        <v>2094.4503797769094</v>
      </c>
      <c r="H168">
        <v>-95.982336720351597</v>
      </c>
      <c r="I168">
        <v>2094.4503797769094</v>
      </c>
      <c r="J168">
        <v>-97.712017551871853</v>
      </c>
    </row>
    <row r="169" spans="1:10" x14ac:dyDescent="0.3">
      <c r="A169">
        <v>2065.6562518820901</v>
      </c>
      <c r="B169">
        <v>-97.7703117232235</v>
      </c>
      <c r="C169">
        <v>2065.6562518820901</v>
      </c>
      <c r="D169">
        <v>-95.963528371186683</v>
      </c>
      <c r="G169">
        <v>2065.6562518820901</v>
      </c>
      <c r="H169">
        <v>-95.979529155567803</v>
      </c>
      <c r="I169">
        <v>2065.6562518820901</v>
      </c>
      <c r="J169">
        <v>-97.8131745267074</v>
      </c>
    </row>
    <row r="170" spans="1:10" x14ac:dyDescent="0.3">
      <c r="A170">
        <v>2037.2579804894101</v>
      </c>
      <c r="B170">
        <v>-98.106406773729773</v>
      </c>
      <c r="C170">
        <v>2037.2579804894101</v>
      </c>
      <c r="D170">
        <v>-95.972375715597792</v>
      </c>
      <c r="G170">
        <v>2037.2579804894101</v>
      </c>
      <c r="H170">
        <v>-96.133536633039085</v>
      </c>
      <c r="I170">
        <v>2037.2579804894101</v>
      </c>
      <c r="J170">
        <v>-98.09981026733729</v>
      </c>
    </row>
    <row r="171" spans="1:10" x14ac:dyDescent="0.3">
      <c r="A171">
        <v>2009.2501234347201</v>
      </c>
      <c r="B171">
        <v>-98.170490307515294</v>
      </c>
      <c r="C171">
        <v>2009.2501234347201</v>
      </c>
      <c r="D171">
        <v>-96.0175862365586</v>
      </c>
      <c r="G171">
        <v>2009.2501234347201</v>
      </c>
      <c r="H171">
        <v>-96.034226414481424</v>
      </c>
      <c r="I171">
        <v>2009.2501234347201</v>
      </c>
      <c r="J171">
        <v>-97.985007826567482</v>
      </c>
    </row>
    <row r="172" spans="1:10" x14ac:dyDescent="0.3">
      <c r="A172">
        <v>1981.62731337177</v>
      </c>
      <c r="B172">
        <v>-98.109749191959693</v>
      </c>
      <c r="C172">
        <v>1981.62731337177</v>
      </c>
      <c r="D172">
        <v>-96.161458353736194</v>
      </c>
      <c r="G172">
        <v>1981.62731337177</v>
      </c>
      <c r="H172">
        <v>-96.202966728191811</v>
      </c>
      <c r="I172">
        <v>1981.62731337177</v>
      </c>
      <c r="J172">
        <v>-98.072232098329209</v>
      </c>
    </row>
    <row r="173" spans="1:10" x14ac:dyDescent="0.3">
      <c r="A173">
        <v>1954.3842567436295</v>
      </c>
      <c r="B173">
        <v>-98.037072380022224</v>
      </c>
      <c r="C173">
        <v>1954.3842567436295</v>
      </c>
      <c r="D173">
        <v>-96.044624566537792</v>
      </c>
      <c r="G173">
        <v>1954.3842567436295</v>
      </c>
      <c r="H173">
        <v>-96.166471731154573</v>
      </c>
      <c r="I173">
        <v>1954.3842567436295</v>
      </c>
      <c r="J173">
        <v>-98.021334838758293</v>
      </c>
    </row>
    <row r="174" spans="1:10" x14ac:dyDescent="0.3">
      <c r="A174">
        <v>1927.51573276825</v>
      </c>
      <c r="B174">
        <v>-98.031310395455009</v>
      </c>
      <c r="C174">
        <v>1927.51573276825</v>
      </c>
      <c r="D174">
        <v>-96.146949755769285</v>
      </c>
      <c r="G174">
        <v>1927.51573276825</v>
      </c>
      <c r="H174">
        <v>-96.334850644134804</v>
      </c>
      <c r="I174">
        <v>1927.51573276825</v>
      </c>
      <c r="J174">
        <v>-98.054353054863086</v>
      </c>
    </row>
    <row r="175" spans="1:10" x14ac:dyDescent="0.3">
      <c r="A175">
        <v>1901.0165924379298</v>
      </c>
      <c r="B175">
        <v>-98.09074021064707</v>
      </c>
      <c r="C175">
        <v>1901.0165924379298</v>
      </c>
      <c r="D175">
        <v>-96.281376526714212</v>
      </c>
      <c r="G175">
        <v>1901.0165924379298</v>
      </c>
      <c r="H175">
        <v>-96.280783874901402</v>
      </c>
      <c r="I175">
        <v>1901.0165924379298</v>
      </c>
      <c r="J175">
        <v>-98.129418151244693</v>
      </c>
    </row>
    <row r="176" spans="1:10" x14ac:dyDescent="0.3">
      <c r="A176">
        <v>1874.8817575326298</v>
      </c>
      <c r="B176">
        <v>-98.105238189186579</v>
      </c>
      <c r="C176">
        <v>1874.8817575326298</v>
      </c>
      <c r="D176">
        <v>-96.336660596714808</v>
      </c>
      <c r="G176">
        <v>1874.8817575326298</v>
      </c>
      <c r="H176">
        <v>-96.356330233431507</v>
      </c>
      <c r="I176">
        <v>1874.8817575326298</v>
      </c>
      <c r="J176">
        <v>-97.982533349825502</v>
      </c>
    </row>
    <row r="177" spans="1:10" x14ac:dyDescent="0.3">
      <c r="A177">
        <v>1849.1062196467501</v>
      </c>
      <c r="B177">
        <v>-98.164198478369286</v>
      </c>
      <c r="C177">
        <v>1849.1062196467501</v>
      </c>
      <c r="D177">
        <v>-96.447716051253792</v>
      </c>
      <c r="G177">
        <v>1849.1062196467501</v>
      </c>
      <c r="H177">
        <v>-96.386715364355851</v>
      </c>
      <c r="I177">
        <v>1849.1062196467501</v>
      </c>
      <c r="J177">
        <v>-98.03252099040381</v>
      </c>
    </row>
    <row r="178" spans="1:10" x14ac:dyDescent="0.3">
      <c r="A178">
        <v>1823.6850392293402</v>
      </c>
      <c r="B178">
        <v>-98.1331323558788</v>
      </c>
      <c r="C178">
        <v>1823.6850392293402</v>
      </c>
      <c r="D178">
        <v>-96.385750174586391</v>
      </c>
      <c r="G178">
        <v>1823.6850392293402</v>
      </c>
      <c r="H178">
        <v>-96.309489752931484</v>
      </c>
      <c r="I178">
        <v>1823.6850392293402</v>
      </c>
      <c r="J178">
        <v>-98.033654216414007</v>
      </c>
    </row>
    <row r="179" spans="1:10" x14ac:dyDescent="0.3">
      <c r="A179">
        <v>1798.61334463755</v>
      </c>
      <c r="B179">
        <v>-98.026555591735104</v>
      </c>
      <c r="C179">
        <v>1798.61334463755</v>
      </c>
      <c r="D179">
        <v>-96.395882840154101</v>
      </c>
      <c r="G179">
        <v>1798.61334463755</v>
      </c>
      <c r="H179">
        <v>-96.43328364834089</v>
      </c>
      <c r="I179">
        <v>1798.61334463755</v>
      </c>
      <c r="J179">
        <v>-98.062927171663901</v>
      </c>
    </row>
    <row r="180" spans="1:10" x14ac:dyDescent="0.3">
      <c r="A180">
        <v>1773.8863312029698</v>
      </c>
      <c r="B180">
        <v>-98.099610852367604</v>
      </c>
      <c r="C180">
        <v>1773.8863312029698</v>
      </c>
      <c r="D180">
        <v>-96.297197490983606</v>
      </c>
      <c r="G180">
        <v>1773.8863312029698</v>
      </c>
      <c r="H180">
        <v>-96.479287854759505</v>
      </c>
      <c r="I180">
        <v>1773.8863312029698</v>
      </c>
      <c r="J180">
        <v>-98.036691114215998</v>
      </c>
    </row>
    <row r="181" spans="1:10" x14ac:dyDescent="0.3">
      <c r="A181">
        <v>1749.4992603109099</v>
      </c>
      <c r="B181">
        <v>-98.073544457328893</v>
      </c>
      <c r="C181">
        <v>1749.4992603109099</v>
      </c>
      <c r="D181">
        <v>-96.469216205183201</v>
      </c>
      <c r="G181">
        <v>1749.4992603109099</v>
      </c>
      <c r="H181">
        <v>-96.539264144261423</v>
      </c>
      <c r="I181">
        <v>1749.4992603109099</v>
      </c>
      <c r="J181">
        <v>-98.115456932838399</v>
      </c>
    </row>
    <row r="182" spans="1:10" x14ac:dyDescent="0.3">
      <c r="A182">
        <v>1725.44745849232</v>
      </c>
      <c r="B182">
        <v>-98.074100977367905</v>
      </c>
      <c r="C182">
        <v>1725.44745849232</v>
      </c>
      <c r="D182">
        <v>-96.555556895761683</v>
      </c>
      <c r="G182">
        <v>1725.44745849232</v>
      </c>
      <c r="H182">
        <v>-96.627073488680395</v>
      </c>
      <c r="I182">
        <v>1725.44745849232</v>
      </c>
      <c r="J182">
        <v>-97.961693398880882</v>
      </c>
    </row>
    <row r="183" spans="1:10" x14ac:dyDescent="0.3">
      <c r="A183">
        <v>1701.7263165281402</v>
      </c>
      <c r="B183">
        <v>-98.224890764702081</v>
      </c>
      <c r="C183">
        <v>1701.7263165281402</v>
      </c>
      <c r="D183">
        <v>-96.598447112126706</v>
      </c>
      <c r="G183">
        <v>1701.7263165281402</v>
      </c>
      <c r="H183">
        <v>-96.563682335750798</v>
      </c>
      <c r="I183">
        <v>1701.7263165281402</v>
      </c>
      <c r="J183">
        <v>-97.954822208682216</v>
      </c>
    </row>
    <row r="184" spans="1:10" x14ac:dyDescent="0.3">
      <c r="A184">
        <v>1678.3312885660603</v>
      </c>
      <c r="B184">
        <v>-98.074698600435397</v>
      </c>
      <c r="C184">
        <v>1678.3312885660603</v>
      </c>
      <c r="D184">
        <v>-96.524882308857599</v>
      </c>
      <c r="G184">
        <v>1678.3312885660603</v>
      </c>
      <c r="H184">
        <v>-96.640377404091012</v>
      </c>
      <c r="I184">
        <v>1678.3312885660603</v>
      </c>
      <c r="J184">
        <v>-98.083437884851989</v>
      </c>
    </row>
    <row r="185" spans="1:10" x14ac:dyDescent="0.3">
      <c r="A185">
        <v>1655.2578912492997</v>
      </c>
      <c r="B185">
        <v>-98.204047809675373</v>
      </c>
      <c r="C185">
        <v>1655.2578912492997</v>
      </c>
      <c r="D185">
        <v>-96.573511351330211</v>
      </c>
      <c r="G185">
        <v>1655.2578912492997</v>
      </c>
      <c r="H185">
        <v>-96.618383591012602</v>
      </c>
      <c r="I185">
        <v>1655.2578912492997</v>
      </c>
      <c r="J185">
        <v>-98.116054782578573</v>
      </c>
    </row>
    <row r="186" spans="1:10" x14ac:dyDescent="0.3">
      <c r="A186">
        <v>1632.50170285747</v>
      </c>
      <c r="B186">
        <v>-98.145966572112798</v>
      </c>
      <c r="C186">
        <v>1632.50170285747</v>
      </c>
      <c r="D186">
        <v>-96.688355068186397</v>
      </c>
      <c r="G186">
        <v>1632.50170285747</v>
      </c>
      <c r="H186">
        <v>-96.725405057505796</v>
      </c>
      <c r="I186">
        <v>1632.50170285747</v>
      </c>
      <c r="J186">
        <v>-98.021639918587795</v>
      </c>
    </row>
    <row r="187" spans="1:10" x14ac:dyDescent="0.3">
      <c r="A187">
        <v>1610.0583624592198</v>
      </c>
      <c r="B187">
        <v>-98.137344984258306</v>
      </c>
      <c r="C187">
        <v>1610.0583624592198</v>
      </c>
      <c r="D187">
        <v>-96.656019361754403</v>
      </c>
      <c r="G187">
        <v>1610.0583624592198</v>
      </c>
      <c r="H187">
        <v>-96.825048695885599</v>
      </c>
      <c r="I187">
        <v>1610.0583624592198</v>
      </c>
      <c r="J187">
        <v>-98.074357166111994</v>
      </c>
    </row>
    <row r="188" spans="1:10" x14ac:dyDescent="0.3">
      <c r="A188">
        <v>1587.9235690764799</v>
      </c>
      <c r="B188">
        <v>-98.078555620724487</v>
      </c>
      <c r="C188">
        <v>1587.9235690764799</v>
      </c>
      <c r="D188">
        <v>-96.691697701898704</v>
      </c>
      <c r="G188">
        <v>1587.9235690764799</v>
      </c>
      <c r="H188">
        <v>-96.802299870127683</v>
      </c>
      <c r="I188">
        <v>1587.9235690764799</v>
      </c>
      <c r="J188">
        <v>-98.081320359843204</v>
      </c>
    </row>
    <row r="189" spans="1:10" x14ac:dyDescent="0.3">
      <c r="A189">
        <v>1566.0930808602598</v>
      </c>
      <c r="B189">
        <v>-98.034315809008504</v>
      </c>
      <c r="C189">
        <v>1566.0930808602598</v>
      </c>
      <c r="D189">
        <v>-96.839976834824597</v>
      </c>
      <c r="G189">
        <v>1566.0930808602598</v>
      </c>
      <c r="H189">
        <v>-96.754747458194402</v>
      </c>
      <c r="I189">
        <v>1566.0930808602598</v>
      </c>
      <c r="J189">
        <v>-97.979699966963992</v>
      </c>
    </row>
    <row r="190" spans="1:10" x14ac:dyDescent="0.3">
      <c r="A190">
        <v>1544.56271427775</v>
      </c>
      <c r="B190">
        <v>-98.156342286295995</v>
      </c>
      <c r="C190">
        <v>1544.56271427775</v>
      </c>
      <c r="D190">
        <v>-96.843478395623194</v>
      </c>
      <c r="G190">
        <v>1544.56271427775</v>
      </c>
      <c r="H190">
        <v>-96.861338756224313</v>
      </c>
      <c r="I190">
        <v>1544.56271427775</v>
      </c>
      <c r="J190">
        <v>-98.028308502664601</v>
      </c>
    </row>
    <row r="191" spans="1:10" x14ac:dyDescent="0.3">
      <c r="A191">
        <v>1523.3283433106001</v>
      </c>
      <c r="B191">
        <v>-98.081896699812305</v>
      </c>
      <c r="C191">
        <v>1523.3283433106001</v>
      </c>
      <c r="D191">
        <v>-96.658043217291805</v>
      </c>
      <c r="G191">
        <v>1523.3283433106001</v>
      </c>
      <c r="H191">
        <v>-96.849269939596908</v>
      </c>
      <c r="I191">
        <v>1523.3283433106001</v>
      </c>
      <c r="J191">
        <v>-98.069543988204614</v>
      </c>
    </row>
    <row r="192" spans="1:10" x14ac:dyDescent="0.3">
      <c r="A192">
        <v>1502.3858986642199</v>
      </c>
      <c r="B192">
        <v>-98.078732514851012</v>
      </c>
      <c r="C192">
        <v>1502.3858986642199</v>
      </c>
      <c r="D192">
        <v>-96.775153450859008</v>
      </c>
      <c r="G192">
        <v>1502.3858986642199</v>
      </c>
      <c r="H192">
        <v>-96.843260077725773</v>
      </c>
      <c r="I192">
        <v>1502.3858986642199</v>
      </c>
      <c r="J192">
        <v>-98.020451013658104</v>
      </c>
    </row>
    <row r="193" spans="1:10" x14ac:dyDescent="0.3">
      <c r="A193">
        <v>1481.7313669879397</v>
      </c>
      <c r="B193">
        <v>-98.126611363415051</v>
      </c>
      <c r="C193">
        <v>1481.7313669879397</v>
      </c>
      <c r="D193">
        <v>-96.780938801646215</v>
      </c>
      <c r="G193">
        <v>1481.7313669879397</v>
      </c>
      <c r="H193">
        <v>-96.950497321451806</v>
      </c>
      <c r="I193">
        <v>1481.7313669879397</v>
      </c>
      <c r="J193">
        <v>-98.0474153477236</v>
      </c>
    </row>
    <row r="194" spans="1:10" x14ac:dyDescent="0.3">
      <c r="A194">
        <v>1461.3607901059199</v>
      </c>
      <c r="B194">
        <v>-98.112054121233797</v>
      </c>
      <c r="C194">
        <v>1461.3607901059199</v>
      </c>
      <c r="D194">
        <v>-96.857592422156102</v>
      </c>
      <c r="G194">
        <v>1461.3607901059199</v>
      </c>
      <c r="H194">
        <v>-96.891675981439008</v>
      </c>
      <c r="I194">
        <v>1461.3607901059199</v>
      </c>
      <c r="J194">
        <v>-98.05492370936399</v>
      </c>
    </row>
    <row r="195" spans="1:10" x14ac:dyDescent="0.3">
      <c r="A195">
        <v>1441.27026425863</v>
      </c>
      <c r="B195">
        <v>-98.079174483662214</v>
      </c>
      <c r="C195">
        <v>1441.27026425863</v>
      </c>
      <c r="D195">
        <v>-96.946326887863393</v>
      </c>
      <c r="G195">
        <v>1441.27026425863</v>
      </c>
      <c r="H195">
        <v>-96.940223779345601</v>
      </c>
      <c r="I195">
        <v>1441.27026425863</v>
      </c>
      <c r="J195">
        <v>-98.006987632620806</v>
      </c>
    </row>
    <row r="196" spans="1:10" x14ac:dyDescent="0.3">
      <c r="A196">
        <v>1421.4559393547102</v>
      </c>
      <c r="B196">
        <v>-98.069099774733999</v>
      </c>
      <c r="C196">
        <v>1421.4559393547102</v>
      </c>
      <c r="D196">
        <v>-96.904346009907201</v>
      </c>
      <c r="G196">
        <v>1421.4559393547102</v>
      </c>
      <c r="H196">
        <v>-96.951714346631803</v>
      </c>
      <c r="I196">
        <v>1421.4559393547102</v>
      </c>
      <c r="J196">
        <v>-97.975447117832303</v>
      </c>
    </row>
    <row r="197" spans="1:10" x14ac:dyDescent="0.3">
      <c r="A197">
        <v>1401.91401823315</v>
      </c>
      <c r="B197">
        <v>-98.166964968413396</v>
      </c>
      <c r="C197">
        <v>1401.91401823315</v>
      </c>
      <c r="D197">
        <v>-96.924204654790088</v>
      </c>
      <c r="G197">
        <v>1401.91401823315</v>
      </c>
      <c r="H197">
        <v>-97.07064620838328</v>
      </c>
      <c r="I197">
        <v>1401.91401823315</v>
      </c>
      <c r="J197">
        <v>-98.140707501990292</v>
      </c>
    </row>
    <row r="198" spans="1:10" x14ac:dyDescent="0.3">
      <c r="A198">
        <v>1382.6407559356498</v>
      </c>
      <c r="B198">
        <v>-98.086243525541903</v>
      </c>
      <c r="C198">
        <v>1382.6407559356498</v>
      </c>
      <c r="D198">
        <v>-96.911994775133081</v>
      </c>
      <c r="G198">
        <v>1382.6407559356498</v>
      </c>
      <c r="H198">
        <v>-97.049485645850694</v>
      </c>
      <c r="I198">
        <v>1382.6407559356498</v>
      </c>
      <c r="J198">
        <v>-98.105393797113408</v>
      </c>
    </row>
    <row r="199" spans="1:10" x14ac:dyDescent="0.3">
      <c r="A199">
        <v>1363.63245898892</v>
      </c>
      <c r="B199">
        <v>-98.133853014387299</v>
      </c>
      <c r="C199">
        <v>1363.63245898892</v>
      </c>
      <c r="D199">
        <v>-96.967325793394807</v>
      </c>
      <c r="G199">
        <v>1363.63245898892</v>
      </c>
      <c r="H199">
        <v>-96.970357627047505</v>
      </c>
      <c r="I199">
        <v>1363.63245898892</v>
      </c>
      <c r="J199">
        <v>-97.938725662260993</v>
      </c>
    </row>
    <row r="200" spans="1:10" x14ac:dyDescent="0.3">
      <c r="A200">
        <v>1344.88548469687</v>
      </c>
      <c r="B200">
        <v>-98.060060151547006</v>
      </c>
      <c r="C200">
        <v>1344.88548469687</v>
      </c>
      <c r="D200">
        <v>-97.016472366716101</v>
      </c>
      <c r="G200">
        <v>1344.88548469687</v>
      </c>
      <c r="H200">
        <v>-97.094492040004397</v>
      </c>
      <c r="I200">
        <v>1344.88548469687</v>
      </c>
      <c r="J200">
        <v>-98.044043730724994</v>
      </c>
    </row>
    <row r="201" spans="1:10" x14ac:dyDescent="0.3">
      <c r="A201">
        <v>1326.3962404425599</v>
      </c>
      <c r="B201">
        <v>-98.055137174191103</v>
      </c>
      <c r="C201">
        <v>1326.3962404425599</v>
      </c>
      <c r="D201">
        <v>-97.063240581356908</v>
      </c>
      <c r="G201">
        <v>1326.3962404425599</v>
      </c>
      <c r="H201">
        <v>-97.160108562295207</v>
      </c>
      <c r="I201">
        <v>1326.3962404425599</v>
      </c>
      <c r="J201">
        <v>-97.978138239735017</v>
      </c>
    </row>
    <row r="202" spans="1:10" x14ac:dyDescent="0.3">
      <c r="A202">
        <v>1308.16118299967</v>
      </c>
      <c r="B202">
        <v>-98.089403080834586</v>
      </c>
      <c r="C202">
        <v>1308.16118299967</v>
      </c>
      <c r="D202">
        <v>-97.076754166849284</v>
      </c>
      <c r="G202">
        <v>1308.16118299967</v>
      </c>
      <c r="H202">
        <v>-97.156276555460806</v>
      </c>
      <c r="I202">
        <v>1308.16118299967</v>
      </c>
      <c r="J202">
        <v>-98.123239119610091</v>
      </c>
    </row>
    <row r="203" spans="1:10" x14ac:dyDescent="0.3">
      <c r="A203">
        <v>1290.1768178535599</v>
      </c>
      <c r="B203">
        <v>-98.199213069616789</v>
      </c>
      <c r="C203">
        <v>1290.1768178535599</v>
      </c>
      <c r="D203">
        <v>-97.176121244639802</v>
      </c>
      <c r="G203">
        <v>1290.1768178535599</v>
      </c>
      <c r="H203">
        <v>-97.145797520901894</v>
      </c>
      <c r="I203">
        <v>1290.1768178535599</v>
      </c>
      <c r="J203">
        <v>-98.012481319426001</v>
      </c>
    </row>
    <row r="204" spans="1:10" x14ac:dyDescent="0.3">
      <c r="A204">
        <v>1272.43969853152</v>
      </c>
      <c r="B204">
        <v>-98.048944435056399</v>
      </c>
      <c r="C204">
        <v>1272.43969853152</v>
      </c>
      <c r="D204">
        <v>-96.970240974852615</v>
      </c>
      <c r="G204">
        <v>1272.43969853152</v>
      </c>
      <c r="H204">
        <v>-97.189785624581603</v>
      </c>
      <c r="I204">
        <v>1272.43969853152</v>
      </c>
      <c r="J204">
        <v>-98.063647395992604</v>
      </c>
    </row>
    <row r="205" spans="1:10" x14ac:dyDescent="0.3">
      <c r="A205">
        <v>1254.9464259423401</v>
      </c>
      <c r="B205">
        <v>-98.161143547785699</v>
      </c>
      <c r="C205">
        <v>1254.9464259423401</v>
      </c>
      <c r="D205">
        <v>-97.089113347459005</v>
      </c>
      <c r="G205">
        <v>1254.9464259423401</v>
      </c>
      <c r="H205">
        <v>-97.234253076404883</v>
      </c>
      <c r="I205">
        <v>1254.9464259423401</v>
      </c>
      <c r="J205">
        <v>-98.084293467056796</v>
      </c>
    </row>
    <row r="206" spans="1:10" x14ac:dyDescent="0.3">
      <c r="A206">
        <v>1237.6936477249001</v>
      </c>
      <c r="B206">
        <v>-98.132995565936881</v>
      </c>
      <c r="C206">
        <v>1237.6936477249001</v>
      </c>
      <c r="D206">
        <v>-97.100108884072597</v>
      </c>
      <c r="G206">
        <v>1237.6936477249001</v>
      </c>
      <c r="H206">
        <v>-97.183564484464</v>
      </c>
      <c r="I206">
        <v>1237.6936477249001</v>
      </c>
      <c r="J206">
        <v>-98.05424555295609</v>
      </c>
    </row>
    <row r="207" spans="1:10" x14ac:dyDescent="0.3">
      <c r="A207">
        <v>1220.6780576057399</v>
      </c>
      <c r="B207">
        <v>-98.184754812526478</v>
      </c>
      <c r="C207">
        <v>1220.6780576057399</v>
      </c>
      <c r="D207">
        <v>-97.178472420703812</v>
      </c>
      <c r="G207">
        <v>1220.6780576057399</v>
      </c>
      <c r="H207">
        <v>-97.241132962094696</v>
      </c>
      <c r="I207">
        <v>1220.6780576057399</v>
      </c>
      <c r="J207">
        <v>-97.925184127485906</v>
      </c>
    </row>
    <row r="208" spans="1:10" x14ac:dyDescent="0.3">
      <c r="A208">
        <v>1203.8963947654702</v>
      </c>
      <c r="B208">
        <v>-98.020810254716494</v>
      </c>
      <c r="C208">
        <v>1203.8963947654702</v>
      </c>
      <c r="D208">
        <v>-97.273957364562207</v>
      </c>
      <c r="G208">
        <v>1203.8963947654702</v>
      </c>
      <c r="H208">
        <v>-97.193024582879289</v>
      </c>
      <c r="I208">
        <v>1203.8963947654702</v>
      </c>
      <c r="J208">
        <v>-97.9543440458947</v>
      </c>
    </row>
    <row r="209" spans="1:10" x14ac:dyDescent="0.3">
      <c r="A209">
        <v>1187.3454432138401</v>
      </c>
      <c r="B209">
        <v>-98.114932313723003</v>
      </c>
      <c r="C209">
        <v>1187.3454432138401</v>
      </c>
      <c r="D209">
        <v>-97.304417694873209</v>
      </c>
      <c r="G209">
        <v>1187.3454432138401</v>
      </c>
      <c r="H209">
        <v>-97.281772722697085</v>
      </c>
      <c r="I209">
        <v>1187.3454432138401</v>
      </c>
      <c r="J209">
        <v>-97.991227218186395</v>
      </c>
    </row>
    <row r="210" spans="1:10" x14ac:dyDescent="0.3">
      <c r="A210">
        <v>1171.0220311734702</v>
      </c>
      <c r="B210">
        <v>-98.034878634273795</v>
      </c>
      <c r="C210">
        <v>1171.0220311734702</v>
      </c>
      <c r="D210">
        <v>-97.267631610866104</v>
      </c>
      <c r="G210">
        <v>1171.0220311734702</v>
      </c>
      <c r="H210">
        <v>-97.278508717633997</v>
      </c>
      <c r="I210">
        <v>1171.0220311734702</v>
      </c>
      <c r="J210">
        <v>-98.088114108486224</v>
      </c>
    </row>
    <row r="211" spans="1:10" x14ac:dyDescent="0.3">
      <c r="A211">
        <v>1154.9230304719799</v>
      </c>
      <c r="B211">
        <v>-98.029159919911194</v>
      </c>
      <c r="C211">
        <v>1154.9230304719799</v>
      </c>
      <c r="D211">
        <v>-97.228523617942102</v>
      </c>
      <c r="G211">
        <v>1154.9230304719799</v>
      </c>
      <c r="H211">
        <v>-97.353175156434887</v>
      </c>
      <c r="I211">
        <v>1154.9230304719799</v>
      </c>
      <c r="J211">
        <v>-97.941170396875677</v>
      </c>
    </row>
    <row r="212" spans="1:10" x14ac:dyDescent="0.3">
      <c r="A212">
        <v>1139.04535594258</v>
      </c>
      <c r="B212">
        <v>-98.172192190709424</v>
      </c>
      <c r="C212">
        <v>1139.04535594258</v>
      </c>
      <c r="D212">
        <v>-97.292566523491871</v>
      </c>
      <c r="G212">
        <v>1139.04535594258</v>
      </c>
      <c r="H212">
        <v>-97.355018820129402</v>
      </c>
      <c r="I212">
        <v>1139.04535594258</v>
      </c>
      <c r="J212">
        <v>-98.091128726978809</v>
      </c>
    </row>
    <row r="213" spans="1:10" x14ac:dyDescent="0.3">
      <c r="A213">
        <v>1123.38596483278</v>
      </c>
      <c r="B213">
        <v>-98.130644659587091</v>
      </c>
      <c r="C213">
        <v>1123.38596483278</v>
      </c>
      <c r="D213">
        <v>-97.230530944872399</v>
      </c>
      <c r="G213">
        <v>1123.38596483278</v>
      </c>
      <c r="H213">
        <v>-97.328955174345708</v>
      </c>
      <c r="I213">
        <v>1123.38596483278</v>
      </c>
      <c r="J213">
        <v>-98.117854938645792</v>
      </c>
    </row>
    <row r="214" spans="1:10" x14ac:dyDescent="0.3">
      <c r="A214">
        <v>1107.9418562213002</v>
      </c>
      <c r="B214">
        <v>-98.071968521903202</v>
      </c>
      <c r="C214">
        <v>1107.9418562213002</v>
      </c>
      <c r="D214">
        <v>-97.340189555434605</v>
      </c>
      <c r="G214">
        <v>1107.9418562213002</v>
      </c>
      <c r="H214">
        <v>-97.350368451989894</v>
      </c>
      <c r="I214">
        <v>1107.9418562213002</v>
      </c>
      <c r="J214">
        <v>-98.0851145430955</v>
      </c>
    </row>
    <row r="215" spans="1:10" x14ac:dyDescent="0.3">
      <c r="A215">
        <v>1092.7100704429902</v>
      </c>
      <c r="B215">
        <v>-98.056840237617294</v>
      </c>
      <c r="C215">
        <v>1092.7100704429902</v>
      </c>
      <c r="D215">
        <v>-97.324535985620997</v>
      </c>
      <c r="G215">
        <v>1092.7100704429902</v>
      </c>
      <c r="H215">
        <v>-97.337236731172084</v>
      </c>
      <c r="I215">
        <v>1092.7100704429902</v>
      </c>
      <c r="J215">
        <v>-97.960626714474003</v>
      </c>
    </row>
    <row r="216" spans="1:10" x14ac:dyDescent="0.3">
      <c r="A216">
        <v>1077.6876885216602</v>
      </c>
      <c r="B216">
        <v>-98.162067411188602</v>
      </c>
      <c r="C216">
        <v>1077.6876885216602</v>
      </c>
      <c r="D216">
        <v>-97.414403128581199</v>
      </c>
      <c r="G216">
        <v>1077.6876885216602</v>
      </c>
      <c r="H216">
        <v>-97.402463202620183</v>
      </c>
      <c r="I216">
        <v>1077.6876885216602</v>
      </c>
      <c r="J216">
        <v>-98.051069623680391</v>
      </c>
    </row>
    <row r="217" spans="1:10" x14ac:dyDescent="0.3">
      <c r="A217">
        <v>1062.8718316106599</v>
      </c>
      <c r="B217">
        <v>-98.054463652038393</v>
      </c>
      <c r="C217">
        <v>1062.8718316106599</v>
      </c>
      <c r="D217">
        <v>-97.3508621192357</v>
      </c>
      <c r="G217">
        <v>1062.8718316106599</v>
      </c>
      <c r="H217">
        <v>-97.381847345069588</v>
      </c>
      <c r="I217">
        <v>1062.8718316106599</v>
      </c>
      <c r="J217">
        <v>-97.987850420779282</v>
      </c>
    </row>
    <row r="218" spans="1:10" x14ac:dyDescent="0.3">
      <c r="A218">
        <v>1048.2596604412302</v>
      </c>
      <c r="B218">
        <v>-98.120460229277683</v>
      </c>
      <c r="C218">
        <v>1048.2596604412302</v>
      </c>
      <c r="D218">
        <v>-97.292850573977603</v>
      </c>
      <c r="G218">
        <v>1048.2596604412302</v>
      </c>
      <c r="H218">
        <v>-97.452920259554702</v>
      </c>
      <c r="I218">
        <v>1048.2596604412302</v>
      </c>
      <c r="J218">
        <v>-98.036314001988103</v>
      </c>
    </row>
    <row r="219" spans="1:10" x14ac:dyDescent="0.3">
      <c r="A219">
        <v>1033.84837477834</v>
      </c>
      <c r="B219">
        <v>-98.134009070641596</v>
      </c>
      <c r="C219">
        <v>1033.84837477834</v>
      </c>
      <c r="D219">
        <v>-97.346378671944294</v>
      </c>
      <c r="G219">
        <v>1033.84837477834</v>
      </c>
      <c r="H219">
        <v>-97.474919967102878</v>
      </c>
      <c r="I219">
        <v>1033.84837477834</v>
      </c>
      <c r="J219">
        <v>-97.943740209520186</v>
      </c>
    </row>
    <row r="220" spans="1:10" x14ac:dyDescent="0.3">
      <c r="A220">
        <v>1019.6352128841</v>
      </c>
      <c r="B220">
        <v>-98.098670060501902</v>
      </c>
      <c r="C220">
        <v>1019.6352128841</v>
      </c>
      <c r="D220">
        <v>-97.347727014027598</v>
      </c>
      <c r="G220">
        <v>1019.6352128841</v>
      </c>
      <c r="H220">
        <v>-97.36816745169881</v>
      </c>
      <c r="I220">
        <v>1019.6352128841</v>
      </c>
      <c r="J220">
        <v>-98.051559612422679</v>
      </c>
    </row>
    <row r="221" spans="1:10" x14ac:dyDescent="0.3">
      <c r="A221">
        <v>1005.6174509885101</v>
      </c>
      <c r="B221">
        <v>-98.135893646456651</v>
      </c>
      <c r="C221">
        <v>1005.6174509885101</v>
      </c>
      <c r="D221">
        <v>-97.339052210596407</v>
      </c>
      <c r="G221">
        <v>1005.6174509885101</v>
      </c>
      <c r="H221">
        <v>-97.432203274524099</v>
      </c>
      <c r="I221">
        <v>1005.6174509885101</v>
      </c>
      <c r="J221">
        <v>-98.106693494532806</v>
      </c>
    </row>
    <row r="222" spans="1:10" x14ac:dyDescent="0.3">
      <c r="A222">
        <v>991.79240276745793</v>
      </c>
      <c r="B222">
        <v>-98.116524770402208</v>
      </c>
      <c r="C222">
        <v>991.79240276745793</v>
      </c>
      <c r="D222">
        <v>-97.397379464641404</v>
      </c>
      <c r="G222">
        <v>991.79240276745793</v>
      </c>
      <c r="H222">
        <v>-97.476793598021303</v>
      </c>
      <c r="I222">
        <v>991.79240276745793</v>
      </c>
      <c r="J222">
        <v>-98.046791407679805</v>
      </c>
    </row>
    <row r="223" spans="1:10" x14ac:dyDescent="0.3">
      <c r="A223">
        <v>978.15741882793282</v>
      </c>
      <c r="B223">
        <v>-98.105134994455071</v>
      </c>
      <c r="C223">
        <v>978.15741882793282</v>
      </c>
      <c r="D223">
        <v>-97.491408404074605</v>
      </c>
      <c r="G223">
        <v>978.15741882793282</v>
      </c>
      <c r="H223">
        <v>-97.564381406564706</v>
      </c>
      <c r="I223">
        <v>978.15741882793282</v>
      </c>
      <c r="J223">
        <v>-97.983551553474598</v>
      </c>
    </row>
    <row r="224" spans="1:10" x14ac:dyDescent="0.3">
      <c r="A224">
        <v>964.70988620030801</v>
      </c>
      <c r="B224">
        <v>-97.96230392218888</v>
      </c>
      <c r="C224">
        <v>964.70988620030801</v>
      </c>
      <c r="D224">
        <v>-97.512563349554483</v>
      </c>
      <c r="G224">
        <v>964.70988620030801</v>
      </c>
      <c r="H224">
        <v>-97.506251854483821</v>
      </c>
      <c r="I224">
        <v>964.70988620030801</v>
      </c>
      <c r="J224">
        <v>-97.989640057498804</v>
      </c>
    </row>
    <row r="225" spans="1:10" x14ac:dyDescent="0.3">
      <c r="A225">
        <v>951.4472278375921</v>
      </c>
      <c r="B225">
        <v>-98.065851228297205</v>
      </c>
      <c r="C225">
        <v>951.4472278375921</v>
      </c>
      <c r="D225">
        <v>-97.589425371424483</v>
      </c>
      <c r="G225">
        <v>951.4472278375921</v>
      </c>
      <c r="H225">
        <v>-97.561517689992982</v>
      </c>
      <c r="I225">
        <v>951.4472278375921</v>
      </c>
      <c r="J225">
        <v>-98.108391000545083</v>
      </c>
    </row>
    <row r="226" spans="1:10" x14ac:dyDescent="0.3">
      <c r="A226">
        <v>938.36690212157282</v>
      </c>
      <c r="B226">
        <v>-98.06012024121209</v>
      </c>
      <c r="C226">
        <v>938.36690212157282</v>
      </c>
      <c r="D226">
        <v>-97.545797881934007</v>
      </c>
      <c r="G226">
        <v>938.36690212157282</v>
      </c>
      <c r="H226">
        <v>-97.559693092031381</v>
      </c>
      <c r="I226">
        <v>938.36690212157282</v>
      </c>
      <c r="J226">
        <v>-98.050605928196305</v>
      </c>
    </row>
    <row r="227" spans="1:10" x14ac:dyDescent="0.3">
      <c r="A227">
        <v>925.46640237575104</v>
      </c>
      <c r="B227">
        <v>-98.141001095873804</v>
      </c>
      <c r="C227">
        <v>925.46640237575104</v>
      </c>
      <c r="D227">
        <v>-97.542888409706478</v>
      </c>
      <c r="G227">
        <v>925.46640237575104</v>
      </c>
      <c r="H227">
        <v>-97.580551885650252</v>
      </c>
      <c r="I227">
        <v>925.46640237575104</v>
      </c>
      <c r="J227">
        <v>-97.98712700354541</v>
      </c>
    </row>
    <row r="228" spans="1:10" x14ac:dyDescent="0.3">
      <c r="A228">
        <v>912.74325638496487</v>
      </c>
      <c r="B228">
        <v>-98.156592714409797</v>
      </c>
      <c r="C228">
        <v>912.74325638496487</v>
      </c>
      <c r="D228">
        <v>-97.469593099785598</v>
      </c>
      <c r="G228">
        <v>912.74325638496487</v>
      </c>
      <c r="H228">
        <v>-97.55669462470361</v>
      </c>
      <c r="I228">
        <v>912.74325638496487</v>
      </c>
      <c r="J228">
        <v>-98.135660614754414</v>
      </c>
    </row>
    <row r="229" spans="1:10" x14ac:dyDescent="0.3">
      <c r="A229">
        <v>900.195025921622</v>
      </c>
      <c r="B229">
        <v>-98.118904687558228</v>
      </c>
      <c r="C229">
        <v>900.195025921622</v>
      </c>
      <c r="D229">
        <v>-97.569339166707195</v>
      </c>
      <c r="G229">
        <v>900.195025921622</v>
      </c>
      <c r="H229">
        <v>-97.578888354566402</v>
      </c>
      <c r="I229">
        <v>900.195025921622</v>
      </c>
      <c r="J229">
        <v>-98.089409606162889</v>
      </c>
    </row>
    <row r="230" spans="1:10" x14ac:dyDescent="0.3">
      <c r="A230">
        <v>887.81930627844611</v>
      </c>
      <c r="B230">
        <v>-98.148657571097701</v>
      </c>
      <c r="C230">
        <v>887.81930627844611</v>
      </c>
      <c r="D230">
        <v>-97.504106811383195</v>
      </c>
      <c r="G230">
        <v>887.81930627844611</v>
      </c>
      <c r="H230">
        <v>-97.650147303124882</v>
      </c>
      <c r="I230">
        <v>887.81930627844611</v>
      </c>
      <c r="J230">
        <v>-98.079945504592104</v>
      </c>
    </row>
    <row r="231" spans="1:10" x14ac:dyDescent="0.3">
      <c r="A231">
        <v>875.61372580764612</v>
      </c>
      <c r="B231">
        <v>-98.103213024545994</v>
      </c>
      <c r="C231">
        <v>875.61372580764612</v>
      </c>
      <c r="D231">
        <v>-97.605622252870802</v>
      </c>
      <c r="G231">
        <v>875.61372580764612</v>
      </c>
      <c r="H231">
        <v>-97.668533309445195</v>
      </c>
      <c r="I231">
        <v>875.61372580764612</v>
      </c>
      <c r="J231">
        <v>-98.049130033624493</v>
      </c>
    </row>
    <row r="232" spans="1:10" x14ac:dyDescent="0.3">
      <c r="A232">
        <v>863.5759454664169</v>
      </c>
      <c r="B232">
        <v>-97.947830622204009</v>
      </c>
      <c r="C232">
        <v>863.5759454664169</v>
      </c>
      <c r="D232">
        <v>-97.558896665215201</v>
      </c>
      <c r="G232">
        <v>863.5759454664169</v>
      </c>
      <c r="H232">
        <v>-97.601290808346604</v>
      </c>
      <c r="I232">
        <v>863.5759454664169</v>
      </c>
      <c r="J232">
        <v>-97.991023451205905</v>
      </c>
    </row>
    <row r="233" spans="1:10" x14ac:dyDescent="0.3">
      <c r="A233">
        <v>851.70365836869473</v>
      </c>
      <c r="B233">
        <v>-98.129204364434401</v>
      </c>
      <c r="C233">
        <v>851.70365836869473</v>
      </c>
      <c r="D233">
        <v>-97.613257876165406</v>
      </c>
      <c r="G233">
        <v>851.70365836869473</v>
      </c>
      <c r="H233">
        <v>-97.595066101537</v>
      </c>
      <c r="I233">
        <v>851.70365836869473</v>
      </c>
      <c r="J233">
        <v>-98.012596934141882</v>
      </c>
    </row>
    <row r="234" spans="1:10" x14ac:dyDescent="0.3">
      <c r="A234">
        <v>839.99458934307302</v>
      </c>
      <c r="B234">
        <v>-98.159959818081774</v>
      </c>
      <c r="C234">
        <v>839.99458934307302</v>
      </c>
      <c r="D234">
        <v>-97.577679022596101</v>
      </c>
      <c r="G234">
        <v>839.99458934307302</v>
      </c>
      <c r="H234">
        <v>-97.657643396183289</v>
      </c>
      <c r="I234">
        <v>839.99458934307302</v>
      </c>
      <c r="J234">
        <v>-98.049296045080467</v>
      </c>
    </row>
    <row r="235" spans="1:10" x14ac:dyDescent="0.3">
      <c r="A235">
        <v>828.44649449679105</v>
      </c>
      <c r="B235">
        <v>-98.144625338711606</v>
      </c>
      <c r="C235">
        <v>828.44649449679105</v>
      </c>
      <c r="D235">
        <v>-97.591806978442094</v>
      </c>
      <c r="G235">
        <v>828.44649449679105</v>
      </c>
      <c r="H235">
        <v>-97.733445011576393</v>
      </c>
      <c r="I235">
        <v>828.44649449679105</v>
      </c>
      <c r="J235">
        <v>-98.072377539844396</v>
      </c>
    </row>
    <row r="236" spans="1:10" x14ac:dyDescent="0.3">
      <c r="A236">
        <v>817.05716078572402</v>
      </c>
      <c r="B236">
        <v>-98.127152666907506</v>
      </c>
      <c r="C236">
        <v>817.05716078572402</v>
      </c>
      <c r="D236">
        <v>-97.603601570081906</v>
      </c>
      <c r="G236">
        <v>817.05716078572402</v>
      </c>
      <c r="H236">
        <v>-97.659327134706814</v>
      </c>
      <c r="I236">
        <v>817.05716078572402</v>
      </c>
      <c r="J236">
        <v>-98.035423157256801</v>
      </c>
    </row>
    <row r="237" spans="1:10" x14ac:dyDescent="0.3">
      <c r="A237">
        <v>805.824405590281</v>
      </c>
      <c r="B237">
        <v>-98.052050717770683</v>
      </c>
      <c r="C237">
        <v>805.824405590281</v>
      </c>
      <c r="D237">
        <v>-97.678396516782698</v>
      </c>
      <c r="G237">
        <v>805.824405590281</v>
      </c>
      <c r="H237">
        <v>-97.670537872903608</v>
      </c>
      <c r="I237">
        <v>805.824405590281</v>
      </c>
      <c r="J237">
        <v>-98.0292953146391</v>
      </c>
    </row>
    <row r="238" spans="1:10" x14ac:dyDescent="0.3">
      <c r="A238">
        <v>794.74607629713205</v>
      </c>
      <c r="B238">
        <v>-98.044601707039007</v>
      </c>
      <c r="C238">
        <v>794.74607629713205</v>
      </c>
      <c r="D238">
        <v>-97.564272335253406</v>
      </c>
      <c r="G238">
        <v>794.74607629713205</v>
      </c>
      <c r="H238">
        <v>-97.752599870057281</v>
      </c>
      <c r="I238">
        <v>794.74607629713205</v>
      </c>
      <c r="J238">
        <v>-98.148992904667693</v>
      </c>
    </row>
    <row r="239" spans="1:10" x14ac:dyDescent="0.3">
      <c r="A239">
        <v>783.820049886692</v>
      </c>
      <c r="B239">
        <v>-98.116356141379214</v>
      </c>
      <c r="C239">
        <v>783.820049886692</v>
      </c>
      <c r="D239">
        <v>-97.661087383701201</v>
      </c>
      <c r="G239">
        <v>783.820049886692</v>
      </c>
      <c r="H239">
        <v>-97.6442710255713</v>
      </c>
      <c r="I239">
        <v>783.820049886692</v>
      </c>
      <c r="J239">
        <v>-98.033628572252397</v>
      </c>
    </row>
    <row r="240" spans="1:10" x14ac:dyDescent="0.3">
      <c r="A240">
        <v>773.04423252626304</v>
      </c>
      <c r="B240">
        <v>-98.037967489378801</v>
      </c>
      <c r="C240">
        <v>773.04423252626304</v>
      </c>
      <c r="D240">
        <v>-97.648260739476669</v>
      </c>
      <c r="G240">
        <v>773.04423252626304</v>
      </c>
      <c r="H240">
        <v>-97.645342784974005</v>
      </c>
      <c r="I240">
        <v>773.04423252626304</v>
      </c>
      <c r="J240">
        <v>-98.080967132503801</v>
      </c>
    </row>
    <row r="241" spans="1:10" x14ac:dyDescent="0.3">
      <c r="A241">
        <v>762.41655916878801</v>
      </c>
      <c r="B241">
        <v>-98.1398963988822</v>
      </c>
      <c r="C241">
        <v>762.41655916878801</v>
      </c>
      <c r="D241">
        <v>-97.771938057171482</v>
      </c>
      <c r="G241">
        <v>762.41655916878801</v>
      </c>
      <c r="H241">
        <v>-97.666956167417794</v>
      </c>
      <c r="I241">
        <v>762.41655916878801</v>
      </c>
      <c r="J241">
        <v>-97.925295786994681</v>
      </c>
    </row>
    <row r="242" spans="1:10" x14ac:dyDescent="0.3">
      <c r="A242">
        <v>751.93499315710403</v>
      </c>
      <c r="B242">
        <v>-98.111402824820303</v>
      </c>
      <c r="C242">
        <v>751.93499315710403</v>
      </c>
      <c r="D242">
        <v>-97.732792760844191</v>
      </c>
      <c r="G242">
        <v>751.93499315710403</v>
      </c>
      <c r="H242">
        <v>-97.684956980937415</v>
      </c>
      <c r="I242">
        <v>751.93499315710403</v>
      </c>
      <c r="J242">
        <v>-98.077578220165279</v>
      </c>
    </row>
    <row r="243" spans="1:10" x14ac:dyDescent="0.3">
      <c r="A243">
        <v>741.597525833644</v>
      </c>
      <c r="B243">
        <v>-98.019522977782884</v>
      </c>
      <c r="C243">
        <v>741.597525833644</v>
      </c>
      <c r="D243">
        <v>-97.729212990575206</v>
      </c>
      <c r="G243">
        <v>741.597525833644</v>
      </c>
      <c r="H243">
        <v>-97.751822829328972</v>
      </c>
      <c r="I243">
        <v>741.597525833644</v>
      </c>
      <c r="J243">
        <v>-97.973035235735395</v>
      </c>
    </row>
    <row r="244" spans="1:10" x14ac:dyDescent="0.3">
      <c r="A244">
        <v>731.40217615550785</v>
      </c>
      <c r="B244">
        <v>-98.015057574766402</v>
      </c>
      <c r="C244">
        <v>731.40217615550785</v>
      </c>
      <c r="D244">
        <v>-97.662063464551807</v>
      </c>
      <c r="G244">
        <v>731.40217615550785</v>
      </c>
      <c r="H244">
        <v>-97.676115249546797</v>
      </c>
      <c r="I244">
        <v>731.40217615550785</v>
      </c>
      <c r="J244">
        <v>-97.996237568577598</v>
      </c>
    </row>
    <row r="245" spans="1:10" x14ac:dyDescent="0.3">
      <c r="A245">
        <v>721.346990314815</v>
      </c>
      <c r="B245">
        <v>-98.096094913455289</v>
      </c>
      <c r="C245">
        <v>721.346990314815</v>
      </c>
      <c r="D245">
        <v>-97.781214336045593</v>
      </c>
      <c r="G245">
        <v>721.346990314815</v>
      </c>
      <c r="H245">
        <v>-97.888304351829788</v>
      </c>
      <c r="I245">
        <v>721.346990314815</v>
      </c>
      <c r="J245">
        <v>-98.132834807238268</v>
      </c>
    </row>
    <row r="246" spans="1:10" x14ac:dyDescent="0.3">
      <c r="A246">
        <v>711.4300413642859</v>
      </c>
      <c r="B246">
        <v>-98.117943830699005</v>
      </c>
      <c r="C246">
        <v>711.4300413642859</v>
      </c>
      <c r="D246">
        <v>-97.673065524527388</v>
      </c>
      <c r="G246">
        <v>711.4300413642859</v>
      </c>
      <c r="H246">
        <v>-97.765289456551599</v>
      </c>
      <c r="I246">
        <v>711.4300413642859</v>
      </c>
      <c r="J246">
        <v>-98.141400733585996</v>
      </c>
    </row>
    <row r="247" spans="1:10" x14ac:dyDescent="0.3">
      <c r="A247">
        <v>701.64942884796801</v>
      </c>
      <c r="B247">
        <v>-97.995841504240403</v>
      </c>
      <c r="C247">
        <v>701.64942884796801</v>
      </c>
      <c r="D247">
        <v>-97.616051565432173</v>
      </c>
      <c r="G247">
        <v>701.64942884796801</v>
      </c>
      <c r="H247">
        <v>-97.760069452592006</v>
      </c>
      <c r="I247">
        <v>701.64942884796801</v>
      </c>
      <c r="J247">
        <v>-98.082667515777402</v>
      </c>
    </row>
    <row r="248" spans="1:10" x14ac:dyDescent="0.3">
      <c r="A248">
        <v>692.00327843703087</v>
      </c>
      <c r="B248">
        <v>-98.033545944764882</v>
      </c>
      <c r="C248">
        <v>692.00327843703087</v>
      </c>
      <c r="D248">
        <v>-97.742056528224992</v>
      </c>
      <c r="G248">
        <v>692.00327843703087</v>
      </c>
      <c r="H248">
        <v>-97.680568230995704</v>
      </c>
      <c r="I248">
        <v>692.00327843703087</v>
      </c>
      <c r="J248">
        <v>-97.97614351294169</v>
      </c>
    </row>
    <row r="249" spans="1:10" x14ac:dyDescent="0.3">
      <c r="A249">
        <v>682.48974157058683</v>
      </c>
      <c r="B249">
        <v>-97.997706990773693</v>
      </c>
      <c r="C249">
        <v>682.48974157058683</v>
      </c>
      <c r="D249">
        <v>-97.667625197644611</v>
      </c>
      <c r="G249">
        <v>682.48974157058683</v>
      </c>
      <c r="H249">
        <v>-97.768410655507012</v>
      </c>
      <c r="I249">
        <v>682.48974157058683</v>
      </c>
      <c r="J249">
        <v>-97.952945976937698</v>
      </c>
    </row>
    <row r="250" spans="1:10" x14ac:dyDescent="0.3">
      <c r="A250">
        <v>673.10699510142797</v>
      </c>
      <c r="B250">
        <v>-98.170073831638803</v>
      </c>
      <c r="C250">
        <v>673.10699510142797</v>
      </c>
      <c r="D250">
        <v>-97.677346101085419</v>
      </c>
      <c r="G250">
        <v>673.10699510142797</v>
      </c>
      <c r="H250">
        <v>-97.775728574051811</v>
      </c>
      <c r="I250">
        <v>673.10699510142797</v>
      </c>
      <c r="J250">
        <v>-98.069391486587804</v>
      </c>
    </row>
    <row r="251" spans="1:10" x14ac:dyDescent="0.3">
      <c r="A251">
        <v>663.853240946646</v>
      </c>
      <c r="B251">
        <v>-98.128850924754801</v>
      </c>
      <c r="C251">
        <v>663.853240946646</v>
      </c>
      <c r="D251">
        <v>-97.76657506355582</v>
      </c>
      <c r="G251">
        <v>663.853240946646</v>
      </c>
      <c r="H251">
        <v>-97.842790934659604</v>
      </c>
      <c r="I251">
        <v>663.853240946646</v>
      </c>
      <c r="J251">
        <v>-97.93596445018818</v>
      </c>
    </row>
    <row r="252" spans="1:10" x14ac:dyDescent="0.3">
      <c r="A252">
        <v>654.72670574305801</v>
      </c>
      <c r="B252">
        <v>-98.093213213640396</v>
      </c>
      <c r="C252">
        <v>654.72670574305801</v>
      </c>
      <c r="D252">
        <v>-97.792159817232303</v>
      </c>
      <c r="G252">
        <v>654.72670574305801</v>
      </c>
      <c r="H252">
        <v>-97.7991965186296</v>
      </c>
      <c r="I252">
        <v>654.72670574305801</v>
      </c>
      <c r="J252">
        <v>-97.996686274860807</v>
      </c>
    </row>
    <row r="253" spans="1:10" x14ac:dyDescent="0.3">
      <c r="A253">
        <v>645.72564050735502</v>
      </c>
      <c r="B253">
        <v>-98.103181043168306</v>
      </c>
      <c r="C253">
        <v>645.72564050735502</v>
      </c>
      <c r="D253">
        <v>-97.703708558451012</v>
      </c>
      <c r="G253">
        <v>645.72564050735502</v>
      </c>
      <c r="H253">
        <v>-97.737474553859599</v>
      </c>
      <c r="I253">
        <v>645.72564050735502</v>
      </c>
      <c r="J253">
        <v>-98.110535210507678</v>
      </c>
    </row>
    <row r="254" spans="1:10" x14ac:dyDescent="0.3">
      <c r="A254">
        <v>636.84832030093901</v>
      </c>
      <c r="B254">
        <v>-98.134000214761485</v>
      </c>
      <c r="C254">
        <v>636.84832030093901</v>
      </c>
      <c r="D254">
        <v>-97.837756661132488</v>
      </c>
      <c r="G254">
        <v>636.84832030093901</v>
      </c>
      <c r="H254">
        <v>-97.860569169135104</v>
      </c>
      <c r="I254">
        <v>636.84832030093901</v>
      </c>
      <c r="J254">
        <v>-98.097241292229199</v>
      </c>
    </row>
    <row r="255" spans="1:10" x14ac:dyDescent="0.3">
      <c r="A255">
        <v>628.09304389935801</v>
      </c>
      <c r="B255">
        <v>-98.129543940531505</v>
      </c>
      <c r="C255">
        <v>628.09304389935801</v>
      </c>
      <c r="D255">
        <v>-97.772590464425903</v>
      </c>
      <c r="G255">
        <v>628.09304389935801</v>
      </c>
      <c r="H255">
        <v>-97.815892307761004</v>
      </c>
      <c r="I255">
        <v>628.09304389935801</v>
      </c>
      <c r="J255">
        <v>-98.041869544803504</v>
      </c>
    </row>
    <row r="256" spans="1:10" x14ac:dyDescent="0.3">
      <c r="A256">
        <v>619.45813346629006</v>
      </c>
      <c r="B256">
        <v>-98.116162533433879</v>
      </c>
      <c r="C256">
        <v>619.45813346629006</v>
      </c>
      <c r="D256">
        <v>-97.811143476165995</v>
      </c>
      <c r="G256">
        <v>619.45813346629006</v>
      </c>
      <c r="H256">
        <v>-97.74386174648248</v>
      </c>
      <c r="I256">
        <v>619.45813346629006</v>
      </c>
      <c r="J256">
        <v>-98.096735469406212</v>
      </c>
    </row>
    <row r="257" spans="1:10" x14ac:dyDescent="0.3">
      <c r="A257">
        <v>610.94193423200204</v>
      </c>
      <c r="B257">
        <v>-98.011416753996173</v>
      </c>
      <c r="C257">
        <v>610.94193423200204</v>
      </c>
      <c r="D257">
        <v>-97.801795474990399</v>
      </c>
      <c r="G257">
        <v>610.94193423200204</v>
      </c>
      <c r="H257">
        <v>-97.727002733597416</v>
      </c>
      <c r="I257">
        <v>610.94193423200204</v>
      </c>
      <c r="J257">
        <v>-98.045268533014792</v>
      </c>
    </row>
    <row r="258" spans="1:10" x14ac:dyDescent="0.3">
      <c r="A258">
        <v>602.54281417624088</v>
      </c>
      <c r="B258">
        <v>-98.073884537066093</v>
      </c>
      <c r="C258">
        <v>602.54281417624088</v>
      </c>
      <c r="D258">
        <v>-97.792916508823609</v>
      </c>
      <c r="G258">
        <v>602.54281417624088</v>
      </c>
      <c r="H258">
        <v>-97.822938654609516</v>
      </c>
      <c r="I258">
        <v>602.54281417624088</v>
      </c>
      <c r="J258">
        <v>-97.933893005135687</v>
      </c>
    </row>
    <row r="259" spans="1:10" x14ac:dyDescent="0.3">
      <c r="A259">
        <v>594.25916371547396</v>
      </c>
      <c r="B259">
        <v>-97.967777980609469</v>
      </c>
      <c r="C259">
        <v>594.25916371547396</v>
      </c>
      <c r="D259">
        <v>-97.749314711121599</v>
      </c>
      <c r="G259">
        <v>594.25916371547396</v>
      </c>
      <c r="H259">
        <v>-97.783520557504787</v>
      </c>
      <c r="I259">
        <v>594.25916371547396</v>
      </c>
      <c r="J259">
        <v>-98.16104257990547</v>
      </c>
    </row>
    <row r="260" spans="1:10" x14ac:dyDescent="0.3">
      <c r="A260">
        <v>586.089395394436</v>
      </c>
      <c r="B260">
        <v>-98.078705009178591</v>
      </c>
      <c r="C260">
        <v>586.089395394436</v>
      </c>
      <c r="D260">
        <v>-97.722586742038402</v>
      </c>
      <c r="G260">
        <v>586.089395394436</v>
      </c>
      <c r="H260">
        <v>-97.810714783751806</v>
      </c>
      <c r="I260">
        <v>586.089395394436</v>
      </c>
      <c r="J260">
        <v>-98.05350174337039</v>
      </c>
    </row>
    <row r="261" spans="1:10" x14ac:dyDescent="0.3">
      <c r="A261">
        <v>578.03194358191001</v>
      </c>
      <c r="B261">
        <v>-98.041833903557404</v>
      </c>
      <c r="C261">
        <v>578.03194358191001</v>
      </c>
      <c r="D261">
        <v>-97.780321975964796</v>
      </c>
      <c r="G261">
        <v>578.03194358191001</v>
      </c>
      <c r="H261">
        <v>-97.807661463107479</v>
      </c>
      <c r="I261">
        <v>578.03194358191001</v>
      </c>
      <c r="J261">
        <v>-98.03844049152147</v>
      </c>
    </row>
    <row r="262" spans="1:10" x14ac:dyDescent="0.3">
      <c r="A262">
        <v>570.08526417069402</v>
      </c>
      <c r="B262">
        <v>-98.142463035252405</v>
      </c>
      <c r="C262">
        <v>570.08526417069402</v>
      </c>
      <c r="D262">
        <v>-97.781373778347373</v>
      </c>
      <c r="G262">
        <v>570.08526417069402</v>
      </c>
      <c r="H262">
        <v>-97.83308780167161</v>
      </c>
      <c r="I262">
        <v>570.08526417069402</v>
      </c>
      <c r="J262">
        <v>-97.937947669138481</v>
      </c>
    </row>
    <row r="263" spans="1:10" x14ac:dyDescent="0.3">
      <c r="A263">
        <v>562.24783428169997</v>
      </c>
      <c r="B263">
        <v>-98.175006822650886</v>
      </c>
      <c r="C263">
        <v>562.24783428169997</v>
      </c>
      <c r="D263">
        <v>-97.821181980296984</v>
      </c>
      <c r="G263">
        <v>562.24783428169997</v>
      </c>
      <c r="H263">
        <v>-97.984616570726573</v>
      </c>
      <c r="I263">
        <v>562.24783428169997</v>
      </c>
      <c r="J263">
        <v>-98.083818385851103</v>
      </c>
    </row>
    <row r="264" spans="1:10" x14ac:dyDescent="0.3">
      <c r="A264">
        <v>554.51815197210396</v>
      </c>
      <c r="B264">
        <v>-98.16624708627279</v>
      </c>
      <c r="C264">
        <v>554.51815197210396</v>
      </c>
      <c r="D264">
        <v>-97.782672592155905</v>
      </c>
      <c r="G264">
        <v>554.51815197210396</v>
      </c>
      <c r="H264">
        <v>-97.891340218462901</v>
      </c>
      <c r="I264">
        <v>554.51815197210396</v>
      </c>
      <c r="J264">
        <v>-97.902588616214402</v>
      </c>
    </row>
    <row r="265" spans="1:10" x14ac:dyDescent="0.3">
      <c r="A265">
        <v>546.89473594752303</v>
      </c>
      <c r="B265">
        <v>-98.144624343489994</v>
      </c>
      <c r="C265">
        <v>546.89473594752303</v>
      </c>
      <c r="D265">
        <v>-97.811536835581293</v>
      </c>
      <c r="G265">
        <v>546.89473594752303</v>
      </c>
      <c r="H265">
        <v>-97.863859018270077</v>
      </c>
      <c r="I265">
        <v>546.89473594752303</v>
      </c>
      <c r="J265">
        <v>-98.135116951572499</v>
      </c>
    </row>
    <row r="266" spans="1:10" x14ac:dyDescent="0.3">
      <c r="A266">
        <v>539.37612527814497</v>
      </c>
      <c r="B266">
        <v>-98.045839159998593</v>
      </c>
      <c r="C266">
        <v>539.37612527814497</v>
      </c>
      <c r="D266">
        <v>-97.772843551003206</v>
      </c>
      <c r="G266">
        <v>539.37612527814497</v>
      </c>
      <c r="H266">
        <v>-97.83565850470049</v>
      </c>
      <c r="I266">
        <v>539.37612527814497</v>
      </c>
      <c r="J266">
        <v>-98.120657284805105</v>
      </c>
    </row>
    <row r="267" spans="1:10" x14ac:dyDescent="0.3">
      <c r="A267">
        <v>531.96087911875804</v>
      </c>
      <c r="B267">
        <v>-98.116180843062395</v>
      </c>
      <c r="C267">
        <v>531.96087911875804</v>
      </c>
      <c r="D267">
        <v>-97.792071265656304</v>
      </c>
      <c r="G267">
        <v>531.96087911875804</v>
      </c>
      <c r="H267">
        <v>-97.947395726670209</v>
      </c>
      <c r="I267">
        <v>531.96087911875804</v>
      </c>
      <c r="J267">
        <v>-97.971269817672606</v>
      </c>
    </row>
    <row r="268" spans="1:10" x14ac:dyDescent="0.3">
      <c r="A268">
        <v>524.64757643263101</v>
      </c>
      <c r="B268">
        <v>-98.066013992044489</v>
      </c>
      <c r="C268">
        <v>524.64757643263101</v>
      </c>
      <c r="D268">
        <v>-97.791709594197101</v>
      </c>
      <c r="G268">
        <v>524.64757643263101</v>
      </c>
      <c r="H268">
        <v>-97.890941991790868</v>
      </c>
      <c r="I268">
        <v>524.64757643263101</v>
      </c>
      <c r="J268">
        <v>-98.026164630538801</v>
      </c>
    </row>
    <row r="269" spans="1:10" x14ac:dyDescent="0.3">
      <c r="A269">
        <v>517.43481571919096</v>
      </c>
      <c r="B269">
        <v>-98.083301223232098</v>
      </c>
      <c r="C269">
        <v>517.43481571919096</v>
      </c>
      <c r="D269">
        <v>-97.909141179101411</v>
      </c>
      <c r="G269">
        <v>517.43481571919096</v>
      </c>
      <c r="H269">
        <v>-97.834577364947293</v>
      </c>
      <c r="I269">
        <v>517.43481571919096</v>
      </c>
      <c r="J269">
        <v>-97.987968289224881</v>
      </c>
    </row>
    <row r="270" spans="1:10" x14ac:dyDescent="0.3">
      <c r="A270">
        <v>510.32121474544306</v>
      </c>
      <c r="B270">
        <v>-98.020200628668704</v>
      </c>
      <c r="C270">
        <v>510.32121474544306</v>
      </c>
      <c r="D270">
        <v>-97.7855289321773</v>
      </c>
      <c r="G270">
        <v>510.32121474544306</v>
      </c>
      <c r="H270">
        <v>-97.749590889259281</v>
      </c>
      <c r="I270">
        <v>510.32121474544306</v>
      </c>
      <c r="J270">
        <v>-98.023154114295608</v>
      </c>
    </row>
    <row r="271" spans="1:10" x14ac:dyDescent="0.3">
      <c r="A271">
        <v>503.30541028108496</v>
      </c>
      <c r="B271">
        <v>-98.190659084065999</v>
      </c>
      <c r="C271">
        <v>503.30541028108496</v>
      </c>
      <c r="D271">
        <v>-97.770389970616804</v>
      </c>
      <c r="G271">
        <v>503.30541028108496</v>
      </c>
      <c r="H271">
        <v>-97.83134111124339</v>
      </c>
      <c r="I271">
        <v>503.30541028108496</v>
      </c>
      <c r="J271">
        <v>-98.023153021319814</v>
      </c>
    </row>
    <row r="272" spans="1:10" x14ac:dyDescent="0.3">
      <c r="A272">
        <v>496.38605783725694</v>
      </c>
      <c r="B272">
        <v>-98.059473214116494</v>
      </c>
      <c r="C272">
        <v>496.38605783725694</v>
      </c>
      <c r="D272">
        <v>-97.852437513154001</v>
      </c>
      <c r="G272">
        <v>496.38605783725694</v>
      </c>
      <c r="H272">
        <v>-97.926869471308692</v>
      </c>
      <c r="I272">
        <v>496.38605783725694</v>
      </c>
      <c r="J272">
        <v>-98.140477114483005</v>
      </c>
    </row>
    <row r="273" spans="1:10" x14ac:dyDescent="0.3">
      <c r="A273">
        <v>489.56183140889402</v>
      </c>
      <c r="B273">
        <v>-98.092616596085506</v>
      </c>
      <c r="C273">
        <v>489.56183140889402</v>
      </c>
      <c r="D273">
        <v>-97.785233037638591</v>
      </c>
      <c r="G273">
        <v>489.56183140889402</v>
      </c>
      <c r="H273">
        <v>-97.947603227141997</v>
      </c>
      <c r="I273">
        <v>489.56183140889402</v>
      </c>
      <c r="J273">
        <v>-98.043035957458102</v>
      </c>
    </row>
    <row r="274" spans="1:10" x14ac:dyDescent="0.3">
      <c r="A274">
        <v>482.83142322061002</v>
      </c>
      <c r="B274">
        <v>-98.107939087465084</v>
      </c>
      <c r="C274">
        <v>482.83142322061002</v>
      </c>
      <c r="D274">
        <v>-97.799553566964903</v>
      </c>
      <c r="G274">
        <v>482.83142322061002</v>
      </c>
      <c r="H274">
        <v>-97.853908613892173</v>
      </c>
      <c r="I274">
        <v>482.83142322061002</v>
      </c>
      <c r="J274">
        <v>-97.989918491615384</v>
      </c>
    </row>
    <row r="275" spans="1:10" x14ac:dyDescent="0.3">
      <c r="A275">
        <v>476.19354347607799</v>
      </c>
      <c r="B275">
        <v>-98.101440821924399</v>
      </c>
      <c r="C275">
        <v>476.19354347607799</v>
      </c>
      <c r="D275">
        <v>-97.893695529914595</v>
      </c>
      <c r="G275">
        <v>476.19354347607799</v>
      </c>
      <c r="H275">
        <v>-97.901661442219293</v>
      </c>
      <c r="I275">
        <v>476.19354347607799</v>
      </c>
      <c r="J275">
        <v>-98.057964073738404</v>
      </c>
    </row>
    <row r="276" spans="1:10" x14ac:dyDescent="0.3">
      <c r="A276">
        <v>469.64692011086095</v>
      </c>
      <c r="B276">
        <v>-98.077730440951598</v>
      </c>
      <c r="C276">
        <v>469.64692011086095</v>
      </c>
      <c r="D276">
        <v>-97.805055189085408</v>
      </c>
      <c r="G276">
        <v>469.64692011086095</v>
      </c>
      <c r="H276">
        <v>-97.940209275374201</v>
      </c>
      <c r="I276">
        <v>469.64692011086095</v>
      </c>
      <c r="J276">
        <v>-98.051768036964972</v>
      </c>
    </row>
    <row r="277" spans="1:10" x14ac:dyDescent="0.3">
      <c r="A277">
        <v>463.19029854863601</v>
      </c>
      <c r="B277">
        <v>-98.211765882102227</v>
      </c>
      <c r="C277">
        <v>463.19029854863601</v>
      </c>
      <c r="D277">
        <v>-97.868412418837607</v>
      </c>
      <c r="G277">
        <v>463.19029854863601</v>
      </c>
      <c r="H277">
        <v>-97.873365989072099</v>
      </c>
      <c r="I277">
        <v>463.19029854863601</v>
      </c>
      <c r="J277">
        <v>-97.99613930416578</v>
      </c>
    </row>
    <row r="278" spans="1:10" x14ac:dyDescent="0.3">
      <c r="A278">
        <v>456.82244146076999</v>
      </c>
      <c r="B278">
        <v>-98.112980800893411</v>
      </c>
      <c r="C278">
        <v>456.82244146076999</v>
      </c>
      <c r="D278">
        <v>-97.820129199512877</v>
      </c>
      <c r="G278">
        <v>456.82244146076999</v>
      </c>
      <c r="H278">
        <v>-97.89486422452039</v>
      </c>
      <c r="I278">
        <v>456.82244146076999</v>
      </c>
      <c r="J278">
        <v>-98.002997543063017</v>
      </c>
    </row>
    <row r="279" spans="1:10" x14ac:dyDescent="0.3">
      <c r="A279">
        <v>450.54212852920199</v>
      </c>
      <c r="B279">
        <v>-98.024143215736188</v>
      </c>
      <c r="C279">
        <v>450.54212852920199</v>
      </c>
      <c r="D279">
        <v>-97.70022893802161</v>
      </c>
      <c r="G279">
        <v>450.54212852920199</v>
      </c>
      <c r="H279">
        <v>-97.952246802274203</v>
      </c>
      <c r="I279">
        <v>450.54212852920199</v>
      </c>
      <c r="J279">
        <v>-98.065498787899003</v>
      </c>
    </row>
    <row r="280" spans="1:10" x14ac:dyDescent="0.3">
      <c r="A280">
        <v>444.34815621258201</v>
      </c>
      <c r="B280">
        <v>-98.157550864198001</v>
      </c>
      <c r="C280">
        <v>444.34815621258201</v>
      </c>
      <c r="D280">
        <v>-97.898372571478291</v>
      </c>
      <c r="G280">
        <v>444.34815621258201</v>
      </c>
      <c r="H280">
        <v>-97.940756444913205</v>
      </c>
      <c r="I280">
        <v>444.34815621258201</v>
      </c>
      <c r="J280">
        <v>-98.095300410181096</v>
      </c>
    </row>
    <row r="281" spans="1:10" x14ac:dyDescent="0.3">
      <c r="A281">
        <v>438.23933751563493</v>
      </c>
      <c r="B281">
        <v>-98.075829808226814</v>
      </c>
      <c r="C281">
        <v>438.23933751563493</v>
      </c>
      <c r="D281">
        <v>-97.834783989705798</v>
      </c>
      <c r="G281">
        <v>438.23933751563493</v>
      </c>
      <c r="H281">
        <v>-97.939694176241289</v>
      </c>
      <c r="I281">
        <v>438.23933751563493</v>
      </c>
      <c r="J281">
        <v>-98.038198166594412</v>
      </c>
    </row>
    <row r="282" spans="1:10" x14ac:dyDescent="0.3">
      <c r="A282">
        <v>432.21450176168088</v>
      </c>
      <c r="B282">
        <v>-98.089606118884205</v>
      </c>
      <c r="C282">
        <v>432.21450176168088</v>
      </c>
      <c r="D282">
        <v>-97.850640576157588</v>
      </c>
      <c r="G282">
        <v>432.21450176168088</v>
      </c>
      <c r="H282">
        <v>-98.010994644851479</v>
      </c>
      <c r="I282">
        <v>432.21450176168088</v>
      </c>
      <c r="J282">
        <v>-98.020047441000301</v>
      </c>
    </row>
    <row r="283" spans="1:10" x14ac:dyDescent="0.3">
      <c r="A283">
        <v>426.272494368293</v>
      </c>
      <c r="B283">
        <v>-98.093872992446009</v>
      </c>
      <c r="C283">
        <v>426.272494368293</v>
      </c>
      <c r="D283">
        <v>-97.82532342655567</v>
      </c>
      <c r="G283">
        <v>426.272494368293</v>
      </c>
      <c r="H283">
        <v>-97.939170686080701</v>
      </c>
      <c r="I283">
        <v>426.272494368293</v>
      </c>
      <c r="J283">
        <v>-98.089679781172194</v>
      </c>
    </row>
    <row r="284" spans="1:10" x14ac:dyDescent="0.3">
      <c r="A284">
        <v>420.41217662603697</v>
      </c>
      <c r="B284">
        <v>-98.01696546526739</v>
      </c>
      <c r="C284">
        <v>420.41217662603697</v>
      </c>
      <c r="D284">
        <v>-97.881812396408989</v>
      </c>
      <c r="G284">
        <v>420.41217662603697</v>
      </c>
      <c r="H284">
        <v>-97.976752937090069</v>
      </c>
      <c r="I284">
        <v>420.41217662603697</v>
      </c>
      <c r="J284">
        <v>-98.11815801446248</v>
      </c>
    </row>
    <row r="285" spans="1:10" x14ac:dyDescent="0.3">
      <c r="A285">
        <v>414.63242548025102</v>
      </c>
      <c r="B285">
        <v>-98.217381066494795</v>
      </c>
      <c r="C285">
        <v>414.63242548025102</v>
      </c>
      <c r="D285">
        <v>-97.825671728834251</v>
      </c>
      <c r="G285">
        <v>414.63242548025102</v>
      </c>
      <c r="H285">
        <v>-98.045720070393102</v>
      </c>
      <c r="I285">
        <v>414.63242548025102</v>
      </c>
      <c r="J285">
        <v>-98.074019650461452</v>
      </c>
    </row>
    <row r="286" spans="1:10" x14ac:dyDescent="0.3">
      <c r="A286">
        <v>408.93213331582797</v>
      </c>
      <c r="B286">
        <v>-98.072945865205</v>
      </c>
      <c r="C286">
        <v>408.93213331582797</v>
      </c>
      <c r="D286">
        <v>-97.869289965310202</v>
      </c>
      <c r="G286">
        <v>408.93213331582797</v>
      </c>
      <c r="H286">
        <v>-97.822312569513414</v>
      </c>
      <c r="I286">
        <v>408.93213331582797</v>
      </c>
      <c r="J286">
        <v>-97.979565012883995</v>
      </c>
    </row>
    <row r="287" spans="1:10" x14ac:dyDescent="0.3">
      <c r="A287">
        <v>403.31020774495397</v>
      </c>
      <c r="B287">
        <v>-98.092166369983815</v>
      </c>
      <c r="C287">
        <v>403.31020774495397</v>
      </c>
      <c r="D287">
        <v>-97.84457961431481</v>
      </c>
      <c r="G287">
        <v>403.31020774495397</v>
      </c>
      <c r="H287">
        <v>-97.907651033553506</v>
      </c>
      <c r="I287">
        <v>403.31020774495397</v>
      </c>
      <c r="J287">
        <v>-97.913384919939602</v>
      </c>
    </row>
    <row r="288" spans="1:10" x14ac:dyDescent="0.3">
      <c r="A288">
        <v>397.76557139776702</v>
      </c>
      <c r="B288">
        <v>-98.152189261801084</v>
      </c>
      <c r="C288">
        <v>397.76557139776702</v>
      </c>
      <c r="D288">
        <v>-97.9244726923732</v>
      </c>
      <c r="G288">
        <v>397.76557139776702</v>
      </c>
      <c r="H288">
        <v>-97.891230343904482</v>
      </c>
      <c r="I288">
        <v>397.76557139776702</v>
      </c>
      <c r="J288">
        <v>-97.981551451132404</v>
      </c>
    </row>
    <row r="289" spans="1:10" x14ac:dyDescent="0.3">
      <c r="A289">
        <v>392.29716171589092</v>
      </c>
      <c r="B289">
        <v>-98.15133037090169</v>
      </c>
      <c r="C289">
        <v>392.29716171589092</v>
      </c>
      <c r="D289">
        <v>-97.861953846015609</v>
      </c>
      <c r="G289">
        <v>392.29716171589092</v>
      </c>
      <c r="H289">
        <v>-97.945770180249283</v>
      </c>
      <c r="I289">
        <v>392.29716171589092</v>
      </c>
      <c r="J289">
        <v>-98.072189087323679</v>
      </c>
    </row>
    <row r="290" spans="1:10" x14ac:dyDescent="0.3">
      <c r="A290">
        <v>386.90393074881399</v>
      </c>
      <c r="B290">
        <v>-98.076491942024191</v>
      </c>
      <c r="C290">
        <v>386.90393074881399</v>
      </c>
      <c r="D290">
        <v>-97.862847251022586</v>
      </c>
      <c r="G290">
        <v>386.90393074881399</v>
      </c>
      <c r="H290">
        <v>-98.012653447730699</v>
      </c>
      <c r="I290">
        <v>386.90393074881399</v>
      </c>
      <c r="J290">
        <v>-98.022887539960607</v>
      </c>
    </row>
    <row r="291" spans="1:10" x14ac:dyDescent="0.3">
      <c r="A291">
        <v>381.584844953058</v>
      </c>
      <c r="B291">
        <v>-98.17504310639741</v>
      </c>
      <c r="C291">
        <v>381.584844953058</v>
      </c>
      <c r="D291">
        <v>-97.918321271128093</v>
      </c>
      <c r="G291">
        <v>381.584844953058</v>
      </c>
      <c r="H291">
        <v>-97.913145303756181</v>
      </c>
      <c r="I291">
        <v>381.584844953058</v>
      </c>
      <c r="J291">
        <v>-98.070747463169894</v>
      </c>
    </row>
    <row r="292" spans="1:10" x14ac:dyDescent="0.3">
      <c r="A292">
        <v>376.33888499411512</v>
      </c>
      <c r="B292">
        <v>-98.058330542199499</v>
      </c>
      <c r="C292">
        <v>376.33888499411512</v>
      </c>
      <c r="D292">
        <v>-97.883998699191011</v>
      </c>
      <c r="G292">
        <v>376.33888499411512</v>
      </c>
      <c r="H292">
        <v>-97.866220595440083</v>
      </c>
      <c r="I292">
        <v>376.33888499411512</v>
      </c>
      <c r="J292">
        <v>-97.953249134633992</v>
      </c>
    </row>
    <row r="293" spans="1:10" x14ac:dyDescent="0.3">
      <c r="A293">
        <v>371.16504555110799</v>
      </c>
      <c r="B293">
        <v>-98.111490761160809</v>
      </c>
      <c r="C293">
        <v>371.16504555110799</v>
      </c>
      <c r="D293">
        <v>-97.832972261087903</v>
      </c>
      <c r="G293">
        <v>371.16504555110799</v>
      </c>
      <c r="H293">
        <v>-97.932896204840006</v>
      </c>
      <c r="I293">
        <v>371.16504555110799</v>
      </c>
      <c r="J293">
        <v>-97.936836835155006</v>
      </c>
    </row>
    <row r="294" spans="1:10" x14ac:dyDescent="0.3">
      <c r="A294">
        <v>366.06233512412706</v>
      </c>
      <c r="B294">
        <v>-98.029537945528986</v>
      </c>
      <c r="C294">
        <v>366.06233512412706</v>
      </c>
      <c r="D294">
        <v>-97.788794421553604</v>
      </c>
      <c r="G294">
        <v>366.06233512412706</v>
      </c>
      <c r="H294">
        <v>-97.896043898789301</v>
      </c>
      <c r="I294">
        <v>366.06233512412706</v>
      </c>
      <c r="J294">
        <v>-97.947270496753504</v>
      </c>
    </row>
    <row r="295" spans="1:10" x14ac:dyDescent="0.3">
      <c r="A295">
        <v>361.02977584422598</v>
      </c>
      <c r="B295">
        <v>-98.077821091202409</v>
      </c>
      <c r="C295">
        <v>361.02977584422598</v>
      </c>
      <c r="D295">
        <v>-97.845343933736089</v>
      </c>
      <c r="G295">
        <v>361.02977584422598</v>
      </c>
      <c r="H295">
        <v>-97.881662941331868</v>
      </c>
      <c r="I295">
        <v>361.02977584422598</v>
      </c>
      <c r="J295">
        <v>-98.044266480336404</v>
      </c>
    </row>
    <row r="296" spans="1:10" x14ac:dyDescent="0.3">
      <c r="A296">
        <v>356.06640328602703</v>
      </c>
      <c r="B296">
        <v>-98.078524091239601</v>
      </c>
      <c r="C296">
        <v>356.06640328602703</v>
      </c>
      <c r="D296">
        <v>-97.918285935095028</v>
      </c>
      <c r="G296">
        <v>356.06640328602703</v>
      </c>
      <c r="H296">
        <v>-97.949360496775597</v>
      </c>
      <c r="I296">
        <v>356.06640328602703</v>
      </c>
      <c r="J296">
        <v>-98.036809964660804</v>
      </c>
    </row>
    <row r="297" spans="1:10" x14ac:dyDescent="0.3">
      <c r="A297">
        <v>351.17126628289799</v>
      </c>
      <c r="B297">
        <v>-98.091961233413699</v>
      </c>
      <c r="C297">
        <v>351.17126628289799</v>
      </c>
      <c r="D297">
        <v>-97.873750866836488</v>
      </c>
      <c r="G297">
        <v>351.17126628289799</v>
      </c>
      <c r="H297">
        <v>-98.007753616984985</v>
      </c>
      <c r="I297">
        <v>351.17126628289799</v>
      </c>
      <c r="J297">
        <v>-98.130075393044606</v>
      </c>
    </row>
    <row r="298" spans="1:10" x14ac:dyDescent="0.3">
      <c r="A298">
        <v>346.34342674467501</v>
      </c>
      <c r="B298">
        <v>-98.145972473641208</v>
      </c>
      <c r="C298">
        <v>346.34342674467501</v>
      </c>
      <c r="D298">
        <v>-97.749816465323505</v>
      </c>
      <c r="G298">
        <v>346.34342674467501</v>
      </c>
      <c r="H298">
        <v>-98.025366882732882</v>
      </c>
      <c r="I298">
        <v>346.34342674467501</v>
      </c>
      <c r="J298">
        <v>-97.972372563833403</v>
      </c>
    </row>
    <row r="299" spans="1:10" x14ac:dyDescent="0.3">
      <c r="A299">
        <v>341.58195947788897</v>
      </c>
      <c r="B299">
        <v>-98.105142013209999</v>
      </c>
      <c r="C299">
        <v>341.58195947788897</v>
      </c>
      <c r="D299">
        <v>-97.9777537288345</v>
      </c>
      <c r="G299">
        <v>341.58195947788897</v>
      </c>
      <c r="H299">
        <v>-97.901489396515004</v>
      </c>
      <c r="I299">
        <v>341.58195947788897</v>
      </c>
      <c r="J299">
        <v>-98.025861601654483</v>
      </c>
    </row>
    <row r="300" spans="1:10" x14ac:dyDescent="0.3">
      <c r="A300">
        <v>336.88595200846692</v>
      </c>
      <c r="B300">
        <v>-98.077821153147198</v>
      </c>
      <c r="C300">
        <v>336.88595200846692</v>
      </c>
      <c r="D300">
        <v>-97.907519952177424</v>
      </c>
      <c r="G300">
        <v>336.88595200846692</v>
      </c>
      <c r="H300">
        <v>-97.906004217820282</v>
      </c>
      <c r="I300">
        <v>336.88595200846692</v>
      </c>
      <c r="J300">
        <v>-97.964618266747593</v>
      </c>
    </row>
    <row r="301" spans="1:10" x14ac:dyDescent="0.3">
      <c r="A301">
        <v>332.254504406862</v>
      </c>
      <c r="B301">
        <v>-98.181093420878483</v>
      </c>
      <c r="C301">
        <v>332.254504406862</v>
      </c>
      <c r="D301">
        <v>-97.951131810294214</v>
      </c>
      <c r="G301">
        <v>332.254504406862</v>
      </c>
      <c r="H301">
        <v>-97.913954469383853</v>
      </c>
      <c r="I301">
        <v>332.254504406862</v>
      </c>
      <c r="J301">
        <v>-98.031573379853796</v>
      </c>
    </row>
    <row r="302" spans="1:10" x14ac:dyDescent="0.3">
      <c r="A302">
        <v>327.68672911559997</v>
      </c>
      <c r="B302">
        <v>-98.085267573741902</v>
      </c>
      <c r="C302">
        <v>327.68672911559997</v>
      </c>
      <c r="D302">
        <v>-97.901924541454477</v>
      </c>
      <c r="G302">
        <v>327.68672911559997</v>
      </c>
      <c r="H302">
        <v>-97.933729974459013</v>
      </c>
      <c r="I302">
        <v>327.68672911559997</v>
      </c>
      <c r="J302">
        <v>-98.011167805755207</v>
      </c>
    </row>
    <row r="303" spans="1:10" x14ac:dyDescent="0.3">
      <c r="A303">
        <v>323.18175077918693</v>
      </c>
      <c r="B303">
        <v>-98.050095857269</v>
      </c>
      <c r="C303">
        <v>323.18175077918693</v>
      </c>
      <c r="D303">
        <v>-97.985606617896195</v>
      </c>
      <c r="G303">
        <v>323.18175077918693</v>
      </c>
      <c r="H303">
        <v>-97.945024768459604</v>
      </c>
      <c r="I303">
        <v>323.18175077918693</v>
      </c>
      <c r="J303">
        <v>-97.985971145590099</v>
      </c>
    </row>
    <row r="304" spans="1:10" x14ac:dyDescent="0.3">
      <c r="A304">
        <v>318.73870607635803</v>
      </c>
      <c r="B304">
        <v>-98.098506027673466</v>
      </c>
      <c r="C304">
        <v>318.73870607635803</v>
      </c>
      <c r="D304">
        <v>-97.923379168159997</v>
      </c>
      <c r="G304">
        <v>318.73870607635803</v>
      </c>
      <c r="H304">
        <v>-98.040766277279388</v>
      </c>
      <c r="I304">
        <v>318.73870607635803</v>
      </c>
      <c r="J304">
        <v>-98.078342052395797</v>
      </c>
    </row>
    <row r="305" spans="1:10" x14ac:dyDescent="0.3">
      <c r="A305">
        <v>314.35674355463601</v>
      </c>
      <c r="B305">
        <v>-98.077745297868702</v>
      </c>
      <c r="C305">
        <v>314.35674355463601</v>
      </c>
      <c r="D305">
        <v>-97.797772957242003</v>
      </c>
      <c r="G305">
        <v>314.35674355463601</v>
      </c>
      <c r="H305">
        <v>-97.931881491064985</v>
      </c>
      <c r="I305">
        <v>314.35674355463601</v>
      </c>
      <c r="J305">
        <v>-98.039717990942009</v>
      </c>
    </row>
    <row r="306" spans="1:10" x14ac:dyDescent="0.3">
      <c r="A306">
        <v>310.03502346715698</v>
      </c>
      <c r="B306">
        <v>-98.009122492568991</v>
      </c>
      <c r="C306">
        <v>310.03502346715698</v>
      </c>
      <c r="D306">
        <v>-97.891817423219052</v>
      </c>
      <c r="G306">
        <v>310.03502346715698</v>
      </c>
      <c r="H306">
        <v>-97.960964569751994</v>
      </c>
      <c r="I306">
        <v>310.03502346715698</v>
      </c>
      <c r="J306">
        <v>-98.072775115317782</v>
      </c>
    </row>
    <row r="307" spans="1:10" x14ac:dyDescent="0.3">
      <c r="A307">
        <v>305.77271761174899</v>
      </c>
      <c r="B307">
        <v>-98.093459679498693</v>
      </c>
      <c r="C307">
        <v>305.77271761174899</v>
      </c>
      <c r="D307">
        <v>-97.954443517298003</v>
      </c>
      <c r="G307">
        <v>305.77271761174899</v>
      </c>
      <c r="H307">
        <v>-98.123207382038004</v>
      </c>
      <c r="I307">
        <v>305.77271761174899</v>
      </c>
      <c r="J307">
        <v>-98.070375619384876</v>
      </c>
    </row>
    <row r="308" spans="1:10" x14ac:dyDescent="0.3">
      <c r="A308">
        <v>301.56900917221401</v>
      </c>
      <c r="B308">
        <v>-98.15201984771987</v>
      </c>
      <c r="C308">
        <v>301.56900917221401</v>
      </c>
      <c r="D308">
        <v>-97.910488703543024</v>
      </c>
      <c r="G308">
        <v>301.56900917221401</v>
      </c>
      <c r="H308">
        <v>-97.993176341649914</v>
      </c>
      <c r="I308">
        <v>301.56900917221401</v>
      </c>
      <c r="J308">
        <v>-97.967490083970404</v>
      </c>
    </row>
    <row r="309" spans="1:10" x14ac:dyDescent="0.3">
      <c r="A309">
        <v>297.42309256179396</v>
      </c>
      <c r="B309">
        <v>-98.11071144531968</v>
      </c>
      <c r="C309">
        <v>297.42309256179396</v>
      </c>
      <c r="D309">
        <v>-97.954626866565789</v>
      </c>
      <c r="G309">
        <v>297.42309256179396</v>
      </c>
      <c r="H309">
        <v>-97.988158017768811</v>
      </c>
      <c r="I309">
        <v>297.42309256179396</v>
      </c>
      <c r="J309">
        <v>-98.044259062839302</v>
      </c>
    </row>
    <row r="310" spans="1:10" x14ac:dyDescent="0.3">
      <c r="A310">
        <v>293.33417326879692</v>
      </c>
      <c r="B310">
        <v>-98.165883088251391</v>
      </c>
      <c r="C310">
        <v>293.33417326879692</v>
      </c>
      <c r="D310">
        <v>-97.900902317793694</v>
      </c>
      <c r="G310">
        <v>293.33417326879692</v>
      </c>
      <c r="H310">
        <v>-97.888679762468612</v>
      </c>
      <c r="I310">
        <v>293.33417326879692</v>
      </c>
      <c r="J310">
        <v>-98.069607597998598</v>
      </c>
    </row>
    <row r="311" spans="1:10" x14ac:dyDescent="0.3">
      <c r="A311">
        <v>289.30146770433203</v>
      </c>
      <c r="B311">
        <v>-98.100771680478701</v>
      </c>
      <c r="C311">
        <v>289.30146770433203</v>
      </c>
      <c r="D311">
        <v>-97.917771395591373</v>
      </c>
      <c r="G311">
        <v>289.30146770433203</v>
      </c>
      <c r="H311">
        <v>-97.915181040631396</v>
      </c>
      <c r="I311">
        <v>289.30146770433203</v>
      </c>
      <c r="J311">
        <v>-98.083220408901198</v>
      </c>
    </row>
    <row r="312" spans="1:10" x14ac:dyDescent="0.3">
      <c r="A312">
        <v>285.32420305215101</v>
      </c>
      <c r="B312">
        <v>-98.104717082442875</v>
      </c>
      <c r="C312">
        <v>285.32420305215101</v>
      </c>
      <c r="D312">
        <v>-97.842279722954501</v>
      </c>
      <c r="G312">
        <v>285.32420305215101</v>
      </c>
      <c r="H312">
        <v>-98.002700289857287</v>
      </c>
      <c r="I312">
        <v>285.32420305215101</v>
      </c>
      <c r="J312">
        <v>-97.94606146171121</v>
      </c>
    </row>
    <row r="313" spans="1:10" x14ac:dyDescent="0.3">
      <c r="A313">
        <v>281.40161712053998</v>
      </c>
      <c r="B313">
        <v>-98.148654847076102</v>
      </c>
      <c r="C313">
        <v>281.40161712053998</v>
      </c>
      <c r="D313">
        <v>-97.887957208325773</v>
      </c>
      <c r="G313">
        <v>281.40161712053998</v>
      </c>
      <c r="H313">
        <v>-98.041669620755684</v>
      </c>
      <c r="I313">
        <v>281.40161712053998</v>
      </c>
      <c r="J313">
        <v>-97.987348718598227</v>
      </c>
    </row>
    <row r="314" spans="1:10" x14ac:dyDescent="0.3">
      <c r="A314">
        <v>277.53295819626499</v>
      </c>
      <c r="B314">
        <v>-98.131571108086007</v>
      </c>
      <c r="C314">
        <v>277.53295819626499</v>
      </c>
      <c r="D314">
        <v>-98.045831031191597</v>
      </c>
      <c r="G314">
        <v>277.53295819626499</v>
      </c>
      <c r="H314">
        <v>-98.030773018901101</v>
      </c>
      <c r="I314">
        <v>277.53295819626499</v>
      </c>
      <c r="J314">
        <v>-98.044239458549882</v>
      </c>
    </row>
    <row r="315" spans="1:10" x14ac:dyDescent="0.3">
      <c r="A315">
        <v>273.71748490050692</v>
      </c>
      <c r="B315">
        <v>-98.184241779526204</v>
      </c>
      <c r="C315">
        <v>273.71748490050692</v>
      </c>
      <c r="D315">
        <v>-97.946917541803501</v>
      </c>
      <c r="G315">
        <v>273.71748490050692</v>
      </c>
      <c r="H315">
        <v>-98.069018238415012</v>
      </c>
      <c r="I315">
        <v>273.71748490050692</v>
      </c>
      <c r="J315">
        <v>-98.01882229478899</v>
      </c>
    </row>
    <row r="316" spans="1:10" x14ac:dyDescent="0.3">
      <c r="A316">
        <v>269.95446604679103</v>
      </c>
      <c r="B316">
        <v>-98.108985225313774</v>
      </c>
      <c r="C316">
        <v>269.95446604679103</v>
      </c>
      <c r="D316">
        <v>-97.949458248448195</v>
      </c>
      <c r="G316">
        <v>269.95446604679103</v>
      </c>
      <c r="H316">
        <v>-98.007271316745204</v>
      </c>
      <c r="I316">
        <v>269.95446604679103</v>
      </c>
      <c r="J316">
        <v>-98.200079150876476</v>
      </c>
    </row>
    <row r="317" spans="1:10" x14ac:dyDescent="0.3">
      <c r="A317">
        <v>266.24318050086401</v>
      </c>
      <c r="B317">
        <v>-97.991547940444406</v>
      </c>
      <c r="C317">
        <v>266.24318050086401</v>
      </c>
      <c r="D317">
        <v>-97.956714338810599</v>
      </c>
      <c r="G317">
        <v>266.24318050086401</v>
      </c>
      <c r="H317">
        <v>-98.012063846238206</v>
      </c>
      <c r="I317">
        <v>266.24318050086401</v>
      </c>
      <c r="J317">
        <v>-98.006539278835817</v>
      </c>
    </row>
    <row r="318" spans="1:10" x14ac:dyDescent="0.3">
      <c r="A318">
        <v>262.58291704249598</v>
      </c>
      <c r="B318">
        <v>-97.988758729741804</v>
      </c>
      <c r="C318">
        <v>262.58291704249598</v>
      </c>
      <c r="D318">
        <v>-97.814459298225515</v>
      </c>
      <c r="G318">
        <v>262.58291704249598</v>
      </c>
      <c r="H318">
        <v>-97.961789111586882</v>
      </c>
      <c r="I318">
        <v>262.58291704249598</v>
      </c>
      <c r="J318">
        <v>-98.032042846816609</v>
      </c>
    </row>
    <row r="319" spans="1:10" x14ac:dyDescent="0.3">
      <c r="A319">
        <v>258.97297422918302</v>
      </c>
      <c r="B319">
        <v>-98.145756222047808</v>
      </c>
      <c r="C319">
        <v>258.97297422918302</v>
      </c>
      <c r="D319">
        <v>-97.885516969029894</v>
      </c>
      <c r="G319">
        <v>258.97297422918302</v>
      </c>
      <c r="H319">
        <v>-98.034268788799054</v>
      </c>
      <c r="I319">
        <v>258.97297422918302</v>
      </c>
      <c r="J319">
        <v>-98.034690229694405</v>
      </c>
    </row>
    <row r="320" spans="1:10" x14ac:dyDescent="0.3">
      <c r="A320">
        <v>255.41266026173093</v>
      </c>
      <c r="B320">
        <v>-98.159820106275006</v>
      </c>
      <c r="C320">
        <v>255.41266026173093</v>
      </c>
      <c r="D320">
        <v>-97.951976543432394</v>
      </c>
      <c r="G320">
        <v>255.41266026173093</v>
      </c>
      <c r="H320">
        <v>-98.011216480904608</v>
      </c>
      <c r="I320">
        <v>255.41266026173093</v>
      </c>
      <c r="J320">
        <v>-97.953574146391105</v>
      </c>
    </row>
    <row r="321" spans="1:10" x14ac:dyDescent="0.3">
      <c r="A321">
        <v>251.90129285167399</v>
      </c>
      <c r="B321">
        <v>-97.98557908253747</v>
      </c>
      <c r="C321">
        <v>251.90129285167399</v>
      </c>
      <c r="D321">
        <v>-98.017211462718208</v>
      </c>
      <c r="G321">
        <v>251.90129285167399</v>
      </c>
      <c r="H321">
        <v>-97.965269682307991</v>
      </c>
      <c r="I321">
        <v>251.90129285167399</v>
      </c>
      <c r="J321">
        <v>-97.979820878200627</v>
      </c>
    </row>
    <row r="322" spans="1:10" x14ac:dyDescent="0.3">
      <c r="A322">
        <v>248.43819909052601</v>
      </c>
      <c r="B322">
        <v>-98.16283296041459</v>
      </c>
      <c r="C322">
        <v>248.43819909052601</v>
      </c>
      <c r="D322">
        <v>-97.964436585938302</v>
      </c>
      <c r="G322">
        <v>248.43819909052601</v>
      </c>
      <c r="H322">
        <v>-98.096427577866592</v>
      </c>
      <c r="I322">
        <v>248.43819909052601</v>
      </c>
      <c r="J322">
        <v>-98.024334645033207</v>
      </c>
    </row>
    <row r="323" spans="1:10" x14ac:dyDescent="0.3">
      <c r="A323">
        <v>245.02271532082599</v>
      </c>
      <c r="B323">
        <v>-98.063543564441773</v>
      </c>
      <c r="C323">
        <v>245.02271532082599</v>
      </c>
      <c r="D323">
        <v>-97.789959200576078</v>
      </c>
      <c r="G323">
        <v>245.02271532082599</v>
      </c>
      <c r="H323">
        <v>-98.021903529813613</v>
      </c>
      <c r="I323">
        <v>245.02271532082599</v>
      </c>
      <c r="J323">
        <v>-97.963808186073095</v>
      </c>
    </row>
    <row r="324" spans="1:10" x14ac:dyDescent="0.3">
      <c r="A324">
        <v>241.65418700895799</v>
      </c>
      <c r="B324">
        <v>-97.957763021772408</v>
      </c>
      <c r="C324">
        <v>241.65418700895799</v>
      </c>
      <c r="D324">
        <v>-97.84530911948687</v>
      </c>
      <c r="G324">
        <v>241.65418700895799</v>
      </c>
      <c r="H324">
        <v>-97.870481894496621</v>
      </c>
      <c r="I324">
        <v>241.65418700895799</v>
      </c>
      <c r="J324">
        <v>-98.072095622500996</v>
      </c>
    </row>
    <row r="325" spans="1:10" x14ac:dyDescent="0.3">
      <c r="A325">
        <v>238.33196861971399</v>
      </c>
      <c r="B325">
        <v>-97.881997808857605</v>
      </c>
      <c r="C325">
        <v>238.33196861971399</v>
      </c>
      <c r="D325">
        <v>-97.89960669598041</v>
      </c>
      <c r="G325">
        <v>238.33196861971399</v>
      </c>
      <c r="H325">
        <v>-98.029255459204606</v>
      </c>
      <c r="I325">
        <v>238.33196861971399</v>
      </c>
      <c r="J325">
        <v>-98.153003740230702</v>
      </c>
    </row>
    <row r="326" spans="1:10" x14ac:dyDescent="0.3">
      <c r="A326">
        <v>235.05542349259099</v>
      </c>
      <c r="B326">
        <v>-98.094220440423598</v>
      </c>
      <c r="C326">
        <v>235.05542349259099</v>
      </c>
      <c r="D326">
        <v>-97.855579854749465</v>
      </c>
      <c r="G326">
        <v>235.05542349259099</v>
      </c>
      <c r="H326">
        <v>-97.897316771097792</v>
      </c>
      <c r="I326">
        <v>235.05542349259099</v>
      </c>
      <c r="J326">
        <v>-97.964719883828877</v>
      </c>
    </row>
    <row r="327" spans="1:10" x14ac:dyDescent="0.3">
      <c r="A327">
        <v>231.823923719779</v>
      </c>
      <c r="B327">
        <v>-98.119979140124883</v>
      </c>
      <c r="C327">
        <v>231.823923719779</v>
      </c>
      <c r="D327">
        <v>-97.874800192143383</v>
      </c>
      <c r="G327">
        <v>231.823923719779</v>
      </c>
      <c r="H327">
        <v>-98.009368705570481</v>
      </c>
      <c r="I327">
        <v>231.823923719779</v>
      </c>
      <c r="J327">
        <v>-98.041171875912653</v>
      </c>
    </row>
    <row r="328" spans="1:10" x14ac:dyDescent="0.3">
      <c r="A328">
        <v>228.63685002583199</v>
      </c>
      <c r="B328">
        <v>-97.949542065823394</v>
      </c>
      <c r="C328">
        <v>228.63685002583199</v>
      </c>
      <c r="D328">
        <v>-97.912174575621094</v>
      </c>
      <c r="G328">
        <v>228.63685002583199</v>
      </c>
      <c r="H328">
        <v>-97.972887297018801</v>
      </c>
      <c r="I328">
        <v>228.63685002583199</v>
      </c>
      <c r="J328">
        <v>-97.979692937238795</v>
      </c>
    </row>
    <row r="329" spans="1:10" x14ac:dyDescent="0.3">
      <c r="A329">
        <v>225.49359164899101</v>
      </c>
      <c r="B329">
        <v>-98.150515996218502</v>
      </c>
      <c r="C329">
        <v>225.49359164899101</v>
      </c>
      <c r="D329">
        <v>-97.881611519509605</v>
      </c>
      <c r="G329">
        <v>225.49359164899101</v>
      </c>
      <c r="H329">
        <v>-98.126478594340654</v>
      </c>
      <c r="I329">
        <v>225.49359164899101</v>
      </c>
      <c r="J329">
        <v>-98.073767724997452</v>
      </c>
    </row>
    <row r="330" spans="1:10" x14ac:dyDescent="0.3">
      <c r="A330">
        <v>222.393546224142</v>
      </c>
      <c r="B330">
        <v>-98.157272608259987</v>
      </c>
      <c r="C330">
        <v>222.393546224142</v>
      </c>
      <c r="D330">
        <v>-98.058052592054807</v>
      </c>
      <c r="G330">
        <v>222.393546224142</v>
      </c>
      <c r="H330">
        <v>-98.049887243050094</v>
      </c>
      <c r="I330">
        <v>222.393546224142</v>
      </c>
      <c r="J330">
        <v>-98.08289678399187</v>
      </c>
    </row>
    <row r="331" spans="1:10" x14ac:dyDescent="0.3">
      <c r="A331">
        <v>219.33611966737601</v>
      </c>
      <c r="B331">
        <v>-98.14090115496208</v>
      </c>
      <c r="C331">
        <v>219.33611966737601</v>
      </c>
      <c r="D331">
        <v>-98.015645033409683</v>
      </c>
      <c r="G331">
        <v>219.33611966737601</v>
      </c>
      <c r="H331">
        <v>-97.981818501240198</v>
      </c>
      <c r="I331">
        <v>219.33611966737601</v>
      </c>
      <c r="J331">
        <v>-97.882809683054305</v>
      </c>
    </row>
    <row r="332" spans="1:10" x14ac:dyDescent="0.3">
      <c r="A332">
        <v>216.32072606214399</v>
      </c>
      <c r="B332">
        <v>-98.014698617258503</v>
      </c>
      <c r="C332">
        <v>216.32072606214399</v>
      </c>
      <c r="D332">
        <v>-97.836726473624395</v>
      </c>
      <c r="G332">
        <v>216.32072606214399</v>
      </c>
      <c r="H332">
        <v>-98.105925006334573</v>
      </c>
      <c r="I332">
        <v>216.32072606214399</v>
      </c>
      <c r="J332">
        <v>-98.188940092790006</v>
      </c>
    </row>
    <row r="333" spans="1:10" x14ac:dyDescent="0.3">
      <c r="A333">
        <v>213.34678754697296</v>
      </c>
      <c r="B333">
        <v>-98.144456526124003</v>
      </c>
      <c r="C333">
        <v>213.34678754697296</v>
      </c>
      <c r="D333">
        <v>-98.028557518051002</v>
      </c>
      <c r="G333">
        <v>213.34678754697296</v>
      </c>
      <c r="H333">
        <v>-97.931874921524283</v>
      </c>
      <c r="I333">
        <v>213.34678754697296</v>
      </c>
      <c r="J333">
        <v>-97.949019043400199</v>
      </c>
    </row>
    <row r="334" spans="1:10" x14ac:dyDescent="0.3">
      <c r="A334">
        <v>210.41373420472701</v>
      </c>
      <c r="B334">
        <v>-98.1354341177001</v>
      </c>
      <c r="C334">
        <v>210.41373420472701</v>
      </c>
      <c r="D334">
        <v>-98.108085094728608</v>
      </c>
      <c r="G334">
        <v>210.41373420472701</v>
      </c>
      <c r="H334">
        <v>-98.011378596962899</v>
      </c>
      <c r="I334">
        <v>210.41373420472701</v>
      </c>
      <c r="J334">
        <v>-97.980327236056084</v>
      </c>
    </row>
    <row r="335" spans="1:10" x14ac:dyDescent="0.3">
      <c r="A335">
        <v>207.521003953384</v>
      </c>
      <c r="B335">
        <v>-98.204905754073792</v>
      </c>
      <c r="C335">
        <v>207.521003953384</v>
      </c>
      <c r="D335">
        <v>-98.000085484955079</v>
      </c>
      <c r="G335">
        <v>207.521003953384</v>
      </c>
      <c r="H335">
        <v>-97.973075784636805</v>
      </c>
      <c r="I335">
        <v>207.521003953384</v>
      </c>
      <c r="J335">
        <v>-98.092244959404397</v>
      </c>
    </row>
    <row r="336" spans="1:10" x14ac:dyDescent="0.3">
      <c r="A336">
        <v>204.66804243832999</v>
      </c>
      <c r="B336">
        <v>-98.068276858634306</v>
      </c>
      <c r="C336">
        <v>204.66804243832999</v>
      </c>
      <c r="D336">
        <v>-97.907172869626208</v>
      </c>
      <c r="G336">
        <v>204.66804243832999</v>
      </c>
      <c r="H336">
        <v>-98.028679381939682</v>
      </c>
      <c r="I336">
        <v>204.66804243832999</v>
      </c>
      <c r="J336">
        <v>-98.110509592752393</v>
      </c>
    </row>
    <row r="337" spans="1:10" x14ac:dyDescent="0.3">
      <c r="A337">
        <v>201.85430292611599</v>
      </c>
      <c r="B337">
        <v>-98.087083391470401</v>
      </c>
      <c r="C337">
        <v>201.85430292611599</v>
      </c>
      <c r="D337">
        <v>-97.9623253409423</v>
      </c>
      <c r="G337">
        <v>201.85430292611599</v>
      </c>
      <c r="H337">
        <v>-98.068837383444603</v>
      </c>
      <c r="I337">
        <v>201.85430292611599</v>
      </c>
      <c r="J337">
        <v>-98.162101991551381</v>
      </c>
    </row>
    <row r="338" spans="1:10" x14ac:dyDescent="0.3">
      <c r="A338">
        <v>199.07924619968696</v>
      </c>
      <c r="B338">
        <v>-98.152266882118596</v>
      </c>
      <c r="C338">
        <v>199.07924619968696</v>
      </c>
      <c r="D338">
        <v>-97.965784333883903</v>
      </c>
      <c r="G338">
        <v>199.07924619968696</v>
      </c>
      <c r="H338">
        <v>-98.037754048918501</v>
      </c>
      <c r="I338">
        <v>199.07924619968696</v>
      </c>
      <c r="J338">
        <v>-98.097235973781196</v>
      </c>
    </row>
    <row r="339" spans="1:10" x14ac:dyDescent="0.3">
      <c r="A339">
        <v>196.34234045504601</v>
      </c>
      <c r="B339">
        <v>-98.115423982479101</v>
      </c>
      <c r="C339">
        <v>196.34234045504601</v>
      </c>
      <c r="D339">
        <v>-97.972109111666683</v>
      </c>
      <c r="G339">
        <v>196.34234045504601</v>
      </c>
      <c r="H339">
        <v>-98.036766493208702</v>
      </c>
      <c r="I339">
        <v>196.34234045504601</v>
      </c>
      <c r="J339">
        <v>-98.125435349198696</v>
      </c>
    </row>
    <row r="340" spans="1:10" x14ac:dyDescent="0.3">
      <c r="A340">
        <v>193.64306119934301</v>
      </c>
      <c r="B340">
        <v>-98.081404686609105</v>
      </c>
      <c r="C340">
        <v>193.64306119934301</v>
      </c>
      <c r="D340">
        <v>-97.901412822687206</v>
      </c>
      <c r="G340">
        <v>193.64306119934301</v>
      </c>
      <c r="H340">
        <v>-97.974531286424707</v>
      </c>
      <c r="I340">
        <v>193.64306119934301</v>
      </c>
      <c r="J340">
        <v>-98.106858919988653</v>
      </c>
    </row>
    <row r="341" spans="1:10" x14ac:dyDescent="0.3">
      <c r="A341">
        <v>190.98089115036294</v>
      </c>
      <c r="B341">
        <v>-97.966273216498195</v>
      </c>
      <c r="C341">
        <v>190.98089115036294</v>
      </c>
      <c r="D341">
        <v>-97.801552945308003</v>
      </c>
      <c r="G341">
        <v>190.98089115036294</v>
      </c>
      <c r="H341">
        <v>-98.029863894632811</v>
      </c>
      <c r="I341">
        <v>190.98089115036294</v>
      </c>
      <c r="J341">
        <v>-98.042880462361708</v>
      </c>
    </row>
    <row r="342" spans="1:10" x14ac:dyDescent="0.3">
      <c r="A342">
        <v>188.355320137392</v>
      </c>
      <c r="B342">
        <v>-98.201693835640299</v>
      </c>
      <c r="C342">
        <v>188.355320137392</v>
      </c>
      <c r="D342">
        <v>-98.023241133720504</v>
      </c>
      <c r="G342">
        <v>188.355320137392</v>
      </c>
      <c r="H342">
        <v>-97.954736417730572</v>
      </c>
      <c r="I342">
        <v>188.355320137392</v>
      </c>
      <c r="J342">
        <v>-98.057651070246393</v>
      </c>
    </row>
    <row r="343" spans="1:10" x14ac:dyDescent="0.3">
      <c r="A343">
        <v>185.765845003452</v>
      </c>
      <c r="B343">
        <v>-98.061784719134266</v>
      </c>
      <c r="C343">
        <v>185.765845003452</v>
      </c>
      <c r="D343">
        <v>-97.954267394660988</v>
      </c>
      <c r="G343">
        <v>185.765845003452</v>
      </c>
      <c r="H343">
        <v>-98.0092046174464</v>
      </c>
      <c r="I343">
        <v>185.765845003452</v>
      </c>
      <c r="J343">
        <v>-97.966264084920624</v>
      </c>
    </row>
    <row r="344" spans="1:10" x14ac:dyDescent="0.3">
      <c r="A344">
        <v>183.211969508876</v>
      </c>
      <c r="B344">
        <v>-98.075873859222881</v>
      </c>
      <c r="C344">
        <v>183.211969508876</v>
      </c>
      <c r="D344">
        <v>-98.002214587146483</v>
      </c>
      <c r="G344">
        <v>183.211969508876</v>
      </c>
      <c r="H344">
        <v>-98.003053440895201</v>
      </c>
      <c r="I344">
        <v>183.211969508876</v>
      </c>
      <c r="J344">
        <v>-97.961709135933702</v>
      </c>
    </row>
    <row r="345" spans="1:10" x14ac:dyDescent="0.3">
      <c r="A345">
        <v>180.69320423621201</v>
      </c>
      <c r="B345">
        <v>-98.099327706196306</v>
      </c>
      <c r="C345">
        <v>180.69320423621201</v>
      </c>
      <c r="D345">
        <v>-97.959721001733612</v>
      </c>
      <c r="G345">
        <v>180.69320423621201</v>
      </c>
      <c r="H345">
        <v>-98.016661973421904</v>
      </c>
      <c r="I345">
        <v>180.69320423621201</v>
      </c>
      <c r="J345">
        <v>-97.989449844815809</v>
      </c>
    </row>
    <row r="346" spans="1:10" x14ac:dyDescent="0.3">
      <c r="A346">
        <v>178.209066496432</v>
      </c>
      <c r="B346">
        <v>-98.051178423547398</v>
      </c>
      <c r="C346">
        <v>178.209066496432</v>
      </c>
      <c r="D346">
        <v>-97.962446421443303</v>
      </c>
      <c r="G346">
        <v>178.209066496432</v>
      </c>
      <c r="H346">
        <v>-97.961765042486405</v>
      </c>
      <c r="I346">
        <v>178.209066496432</v>
      </c>
      <c r="J346">
        <v>-98.09444362902579</v>
      </c>
    </row>
    <row r="347" spans="1:10" x14ac:dyDescent="0.3">
      <c r="A347">
        <v>175.75908023642799</v>
      </c>
      <c r="B347">
        <v>-98.060457172714209</v>
      </c>
      <c r="C347">
        <v>175.75908023642799</v>
      </c>
      <c r="D347">
        <v>-97.896332845296001</v>
      </c>
      <c r="G347">
        <v>175.75908023642799</v>
      </c>
      <c r="H347">
        <v>-97.966220159375865</v>
      </c>
      <c r="I347">
        <v>175.75908023642799</v>
      </c>
      <c r="J347">
        <v>-98.065786851523598</v>
      </c>
    </row>
    <row r="348" spans="1:10" x14ac:dyDescent="0.3">
      <c r="A348">
        <v>173.34277594778598</v>
      </c>
      <c r="B348">
        <v>-98.101170731524803</v>
      </c>
      <c r="C348">
        <v>173.34277594778598</v>
      </c>
      <c r="D348">
        <v>-97.97190462316081</v>
      </c>
      <c r="G348">
        <v>173.34277594778598</v>
      </c>
      <c r="H348">
        <v>-98.0170013870584</v>
      </c>
      <c r="I348">
        <v>173.34277594778598</v>
      </c>
      <c r="J348">
        <v>-98.023121532211817</v>
      </c>
    </row>
    <row r="349" spans="1:10" x14ac:dyDescent="0.3">
      <c r="A349">
        <v>170.95969057680998</v>
      </c>
      <c r="B349">
        <v>-98.199952952726406</v>
      </c>
      <c r="C349">
        <v>170.95969057680998</v>
      </c>
      <c r="D349">
        <v>-97.996910481872078</v>
      </c>
      <c r="G349">
        <v>170.95969057680998</v>
      </c>
      <c r="H349">
        <v>-98.015451950303103</v>
      </c>
      <c r="I349">
        <v>170.95969057680998</v>
      </c>
      <c r="J349">
        <v>-97.906456276362221</v>
      </c>
    </row>
    <row r="350" spans="1:10" x14ac:dyDescent="0.3">
      <c r="A350">
        <v>168.609367435781</v>
      </c>
      <c r="B350">
        <v>-98.224238287010252</v>
      </c>
      <c r="C350">
        <v>168.609367435781</v>
      </c>
      <c r="D350">
        <v>-97.940022347414882</v>
      </c>
      <c r="G350">
        <v>168.609367435781</v>
      </c>
      <c r="H350">
        <v>-98.006494947934002</v>
      </c>
      <c r="I350">
        <v>168.609367435781</v>
      </c>
      <c r="J350">
        <v>-98.133944033276009</v>
      </c>
    </row>
    <row r="351" spans="1:10" x14ac:dyDescent="0.3">
      <c r="A351">
        <v>166.29135611544299</v>
      </c>
      <c r="B351">
        <v>-98.045706451415199</v>
      </c>
      <c r="C351">
        <v>166.29135611544299</v>
      </c>
      <c r="D351">
        <v>-97.8995904969929</v>
      </c>
      <c r="G351">
        <v>166.29135611544299</v>
      </c>
      <c r="H351">
        <v>-98.080854047784314</v>
      </c>
      <c r="I351">
        <v>166.29135611544299</v>
      </c>
      <c r="J351">
        <v>-98.097957393524396</v>
      </c>
    </row>
    <row r="352" spans="1:10" x14ac:dyDescent="0.3">
      <c r="A352">
        <v>164.00521239868399</v>
      </c>
      <c r="B352">
        <v>-97.999775698281084</v>
      </c>
      <c r="C352">
        <v>164.00521239868399</v>
      </c>
      <c r="D352">
        <v>-97.901403636250706</v>
      </c>
      <c r="G352">
        <v>164.00521239868399</v>
      </c>
      <c r="H352">
        <v>-98.026615187135803</v>
      </c>
      <c r="I352">
        <v>164.00521239868399</v>
      </c>
      <c r="J352">
        <v>-98.134658775832392</v>
      </c>
    </row>
    <row r="353" spans="1:10" x14ac:dyDescent="0.3">
      <c r="A353">
        <v>161.75049817540997</v>
      </c>
      <c r="B353">
        <v>-98.059234601119201</v>
      </c>
      <c r="C353">
        <v>161.75049817540997</v>
      </c>
      <c r="D353">
        <v>-97.874193119434253</v>
      </c>
      <c r="G353">
        <v>161.75049817540997</v>
      </c>
      <c r="H353">
        <v>-98.035732642121502</v>
      </c>
      <c r="I353">
        <v>161.75049817540997</v>
      </c>
      <c r="J353">
        <v>-98.029463952772403</v>
      </c>
    </row>
    <row r="354" spans="1:10" x14ac:dyDescent="0.3">
      <c r="A354">
        <v>159.52678135858699</v>
      </c>
      <c r="B354">
        <v>-98.118157735196476</v>
      </c>
      <c r="C354">
        <v>159.52678135858699</v>
      </c>
      <c r="D354">
        <v>-97.890732597494406</v>
      </c>
      <c r="G354">
        <v>159.52678135858699</v>
      </c>
      <c r="H354">
        <v>-97.946039606617404</v>
      </c>
      <c r="I354">
        <v>159.52678135858699</v>
      </c>
      <c r="J354">
        <v>-98.073306682560002</v>
      </c>
    </row>
    <row r="355" spans="1:10" x14ac:dyDescent="0.3">
      <c r="A355">
        <v>157.33363580143299</v>
      </c>
      <c r="B355">
        <v>-98.147486788722901</v>
      </c>
      <c r="C355">
        <v>157.33363580143299</v>
      </c>
      <c r="D355">
        <v>-97.918592782070078</v>
      </c>
      <c r="G355">
        <v>157.33363580143299</v>
      </c>
      <c r="H355">
        <v>-97.930056673765279</v>
      </c>
      <c r="I355">
        <v>157.33363580143299</v>
      </c>
      <c r="J355">
        <v>-97.982138855169424</v>
      </c>
    </row>
    <row r="356" spans="1:10" x14ac:dyDescent="0.3">
      <c r="A356">
        <v>155.17064121575802</v>
      </c>
      <c r="B356">
        <v>-98.085067127956876</v>
      </c>
      <c r="C356">
        <v>155.17064121575802</v>
      </c>
      <c r="D356">
        <v>-97.889098205767809</v>
      </c>
      <c r="G356">
        <v>155.17064121575802</v>
      </c>
      <c r="H356">
        <v>-97.980290092069609</v>
      </c>
      <c r="I356">
        <v>155.17064121575802</v>
      </c>
      <c r="J356">
        <v>-98.123381513841792</v>
      </c>
    </row>
    <row r="357" spans="1:10" x14ac:dyDescent="0.3">
      <c r="A357">
        <v>153.03738309141798</v>
      </c>
      <c r="B357">
        <v>-98.087188156068805</v>
      </c>
      <c r="C357">
        <v>153.03738309141798</v>
      </c>
      <c r="D357">
        <v>-97.918235034244489</v>
      </c>
      <c r="G357">
        <v>153.03738309141798</v>
      </c>
      <c r="H357">
        <v>-98.07089454919938</v>
      </c>
      <c r="I357">
        <v>153.03738309141798</v>
      </c>
      <c r="J357">
        <v>-98.093824082765593</v>
      </c>
    </row>
    <row r="358" spans="1:10" x14ac:dyDescent="0.3">
      <c r="A358">
        <v>150.93345261687901</v>
      </c>
      <c r="B358">
        <v>-98.067441803828814</v>
      </c>
      <c r="C358">
        <v>150.93345261687901</v>
      </c>
      <c r="D358">
        <v>-97.798416025096088</v>
      </c>
      <c r="G358">
        <v>150.93345261687901</v>
      </c>
      <c r="H358">
        <v>-98.023788611931394</v>
      </c>
      <c r="I358">
        <v>150.93345261687901</v>
      </c>
      <c r="J358">
        <v>-98.100336602901095</v>
      </c>
    </row>
    <row r="359" spans="1:10" x14ac:dyDescent="0.3">
      <c r="A359">
        <v>148.85844660087599</v>
      </c>
      <c r="B359">
        <v>-98.088454996318703</v>
      </c>
      <c r="C359">
        <v>148.85844660087599</v>
      </c>
      <c r="D359">
        <v>-97.901218644848882</v>
      </c>
      <c r="G359">
        <v>148.85844660087599</v>
      </c>
      <c r="H359">
        <v>-98.023792600561407</v>
      </c>
      <c r="I359">
        <v>148.85844660087599</v>
      </c>
      <c r="J359">
        <v>-98.079008925411003</v>
      </c>
    </row>
    <row r="360" spans="1:10" x14ac:dyDescent="0.3">
      <c r="A360">
        <v>146.81196739514499</v>
      </c>
      <c r="B360">
        <v>-98.016091013587868</v>
      </c>
      <c r="C360">
        <v>146.81196739514499</v>
      </c>
      <c r="D360">
        <v>-97.896946989258211</v>
      </c>
      <c r="G360">
        <v>146.81196739514499</v>
      </c>
      <c r="H360">
        <v>-98.029685337078803</v>
      </c>
      <c r="I360">
        <v>146.81196739514499</v>
      </c>
      <c r="J360">
        <v>-98.091937626473424</v>
      </c>
    </row>
    <row r="361" spans="1:10" x14ac:dyDescent="0.3">
      <c r="A361">
        <v>144.79362281821901</v>
      </c>
      <c r="B361">
        <v>-98.120386021629997</v>
      </c>
      <c r="C361">
        <v>144.79362281821901</v>
      </c>
      <c r="D361">
        <v>-97.915065645311103</v>
      </c>
      <c r="G361">
        <v>144.79362281821901</v>
      </c>
      <c r="H361">
        <v>-98.050918993914493</v>
      </c>
      <c r="I361">
        <v>144.79362281821901</v>
      </c>
      <c r="J361">
        <v>-98.145339174245407</v>
      </c>
    </row>
    <row r="362" spans="1:10" x14ac:dyDescent="0.3">
      <c r="A362">
        <v>142.80302608026898</v>
      </c>
      <c r="B362">
        <v>-98.076234486726008</v>
      </c>
      <c r="C362">
        <v>142.80302608026898</v>
      </c>
      <c r="D362">
        <v>-97.866802738041599</v>
      </c>
      <c r="G362">
        <v>142.80302608026898</v>
      </c>
      <c r="H362">
        <v>-98.042263326057466</v>
      </c>
      <c r="I362">
        <v>142.80302608026898</v>
      </c>
      <c r="J362">
        <v>-98.08825780576089</v>
      </c>
    </row>
    <row r="363" spans="1:10" x14ac:dyDescent="0.3">
      <c r="A363">
        <v>140.839795708987</v>
      </c>
      <c r="B363">
        <v>-98.192964828353595</v>
      </c>
      <c r="C363">
        <v>140.839795708987</v>
      </c>
      <c r="D363">
        <v>-97.927957429920397</v>
      </c>
      <c r="G363">
        <v>140.839795708987</v>
      </c>
      <c r="H363">
        <v>-98.108080563411207</v>
      </c>
      <c r="I363">
        <v>140.839795708987</v>
      </c>
      <c r="J363">
        <v>-98.105871856090502</v>
      </c>
    </row>
    <row r="364" spans="1:10" x14ac:dyDescent="0.3">
      <c r="A364">
        <v>138.90355547647502</v>
      </c>
      <c r="B364">
        <v>-98.104722355810694</v>
      </c>
      <c r="C364">
        <v>138.90355547647502</v>
      </c>
      <c r="D364">
        <v>-98.006779408897287</v>
      </c>
      <c r="G364">
        <v>138.90355547647502</v>
      </c>
      <c r="H364">
        <v>-98.016699619851281</v>
      </c>
      <c r="I364">
        <v>138.90355547647502</v>
      </c>
      <c r="J364">
        <v>-98.099557838357228</v>
      </c>
    </row>
    <row r="365" spans="1:10" x14ac:dyDescent="0.3">
      <c r="A365">
        <v>136.99393432714999</v>
      </c>
      <c r="B365">
        <v>-98.250999539372401</v>
      </c>
      <c r="C365">
        <v>136.99393432714999</v>
      </c>
      <c r="D365">
        <v>-98.001211617029881</v>
      </c>
      <c r="G365">
        <v>136.99393432714999</v>
      </c>
      <c r="H365">
        <v>-98.119296697331507</v>
      </c>
      <c r="I365">
        <v>136.99393432714999</v>
      </c>
      <c r="J365">
        <v>-98.090103145879681</v>
      </c>
    </row>
    <row r="366" spans="1:10" x14ac:dyDescent="0.3">
      <c r="A366">
        <v>135.11056630663401</v>
      </c>
      <c r="B366">
        <v>-98.044159967529595</v>
      </c>
      <c r="C366">
        <v>135.11056630663401</v>
      </c>
      <c r="D366">
        <v>-97.932588769838802</v>
      </c>
      <c r="G366">
        <v>135.11056630663401</v>
      </c>
      <c r="H366">
        <v>-97.948001367286679</v>
      </c>
      <c r="I366">
        <v>135.11056630663401</v>
      </c>
      <c r="J366">
        <v>-98.117959838481198</v>
      </c>
    </row>
    <row r="367" spans="1:10" x14ac:dyDescent="0.3">
      <c r="A367">
        <v>133.25309049162399</v>
      </c>
      <c r="B367">
        <v>-98.104788204373605</v>
      </c>
      <c r="C367">
        <v>133.25309049162399</v>
      </c>
      <c r="D367">
        <v>-98.027610650555388</v>
      </c>
      <c r="G367">
        <v>133.25309049162399</v>
      </c>
      <c r="H367">
        <v>-98.041200012408197</v>
      </c>
      <c r="I367">
        <v>133.25309049162399</v>
      </c>
      <c r="J367">
        <v>-98.153705905339194</v>
      </c>
    </row>
    <row r="368" spans="1:10" x14ac:dyDescent="0.3">
      <c r="A368">
        <v>131.42115092072601</v>
      </c>
      <c r="B368">
        <v>-98.098439588180995</v>
      </c>
      <c r="C368">
        <v>131.42115092072601</v>
      </c>
      <c r="D368">
        <v>-98.046275351244191</v>
      </c>
      <c r="G368">
        <v>131.42115092072601</v>
      </c>
      <c r="H368">
        <v>-98.0116860250683</v>
      </c>
      <c r="I368">
        <v>131.42115092072601</v>
      </c>
      <c r="J368">
        <v>-98.033667063917591</v>
      </c>
    </row>
    <row r="369" spans="1:10" x14ac:dyDescent="0.3">
      <c r="A369">
        <v>129.61439652624</v>
      </c>
      <c r="B369">
        <v>-98.169588124351506</v>
      </c>
      <c r="C369">
        <v>129.61439652624</v>
      </c>
      <c r="D369">
        <v>-97.967679300301882</v>
      </c>
      <c r="G369">
        <v>129.61439652624</v>
      </c>
      <c r="H369">
        <v>-97.926013866350402</v>
      </c>
      <c r="I369">
        <v>129.61439652624</v>
      </c>
      <c r="J369">
        <v>-98.004029641413268</v>
      </c>
    </row>
    <row r="370" spans="1:10" x14ac:dyDescent="0.3">
      <c r="A370">
        <v>127.83248106688099</v>
      </c>
      <c r="B370">
        <v>-98.102746358427396</v>
      </c>
      <c r="C370">
        <v>127.83248106688099</v>
      </c>
      <c r="D370">
        <v>-97.961677425015694</v>
      </c>
      <c r="G370">
        <v>127.83248106688099</v>
      </c>
      <c r="H370">
        <v>-97.979734041836011</v>
      </c>
      <c r="I370">
        <v>127.83248106688099</v>
      </c>
      <c r="J370">
        <v>-97.96914369946289</v>
      </c>
    </row>
    <row r="371" spans="1:10" x14ac:dyDescent="0.3">
      <c r="A371">
        <v>126.07506306142599</v>
      </c>
      <c r="B371">
        <v>-98.0457826938962</v>
      </c>
      <c r="C371">
        <v>126.07506306142599</v>
      </c>
      <c r="D371">
        <v>-97.932412726956628</v>
      </c>
      <c r="G371">
        <v>126.07506306142599</v>
      </c>
      <c r="H371">
        <v>-97.928243782912702</v>
      </c>
      <c r="I371">
        <v>126.07506306142599</v>
      </c>
      <c r="J371">
        <v>-98.015143539169998</v>
      </c>
    </row>
    <row r="372" spans="1:10" x14ac:dyDescent="0.3">
      <c r="A372">
        <v>124.34180572327699</v>
      </c>
      <c r="B372">
        <v>-98.027271893724603</v>
      </c>
      <c r="C372">
        <v>124.34180572327699</v>
      </c>
      <c r="D372">
        <v>-97.836963339073208</v>
      </c>
      <c r="G372">
        <v>124.34180572327699</v>
      </c>
      <c r="H372">
        <v>-98.134952675643902</v>
      </c>
      <c r="I372">
        <v>124.34180572327699</v>
      </c>
      <c r="J372">
        <v>-98.078851518609596</v>
      </c>
    </row>
    <row r="373" spans="1:10" x14ac:dyDescent="0.3">
      <c r="A373">
        <v>122.632376895916</v>
      </c>
      <c r="B373">
        <v>-98.147359470196889</v>
      </c>
      <c r="C373">
        <v>122.632376895916</v>
      </c>
      <c r="D373">
        <v>-97.987519118156101</v>
      </c>
      <c r="G373">
        <v>122.632376895916</v>
      </c>
      <c r="H373">
        <v>-98.107312981437502</v>
      </c>
      <c r="I373">
        <v>122.632376895916</v>
      </c>
      <c r="J373">
        <v>-97.976738253305427</v>
      </c>
    </row>
    <row r="374" spans="1:10" x14ac:dyDescent="0.3">
      <c r="A374">
        <v>120.94644898925399</v>
      </c>
      <c r="B374">
        <v>-98.103229097089198</v>
      </c>
      <c r="C374">
        <v>120.94644898925399</v>
      </c>
      <c r="D374">
        <v>-98.150323522320093</v>
      </c>
      <c r="G374">
        <v>120.94644898925399</v>
      </c>
      <c r="H374">
        <v>-97.996550143226798</v>
      </c>
      <c r="I374">
        <v>120.94644898925399</v>
      </c>
      <c r="J374">
        <v>-97.982549600895865</v>
      </c>
    </row>
    <row r="375" spans="1:10" x14ac:dyDescent="0.3">
      <c r="A375">
        <v>119.28369891685</v>
      </c>
      <c r="B375">
        <v>-98.118820273660603</v>
      </c>
      <c r="C375">
        <v>119.28369891685</v>
      </c>
      <c r="D375">
        <v>-97.910266630239803</v>
      </c>
      <c r="G375">
        <v>119.28369891685</v>
      </c>
      <c r="H375">
        <v>-98.0574655656321</v>
      </c>
      <c r="I375">
        <v>119.28369891685</v>
      </c>
      <c r="J375">
        <v>-97.985865524399699</v>
      </c>
    </row>
    <row r="376" spans="1:10" x14ac:dyDescent="0.3">
      <c r="A376">
        <v>117.643808034</v>
      </c>
      <c r="B376">
        <v>-98.029965560599607</v>
      </c>
      <c r="C376">
        <v>117.643808034</v>
      </c>
      <c r="D376">
        <v>-97.834177575612301</v>
      </c>
      <c r="G376">
        <v>117.643808034</v>
      </c>
      <c r="H376">
        <v>-98.073134748908302</v>
      </c>
      <c r="I376">
        <v>117.643808034</v>
      </c>
      <c r="J376">
        <v>-97.927224214004198</v>
      </c>
    </row>
    <row r="377" spans="1:10" x14ac:dyDescent="0.3">
      <c r="A377">
        <v>116.026462076668</v>
      </c>
      <c r="B377">
        <v>-98.088956717106399</v>
      </c>
      <c r="C377">
        <v>116.026462076668</v>
      </c>
      <c r="D377">
        <v>-97.928344902711373</v>
      </c>
      <c r="G377">
        <v>116.026462076668</v>
      </c>
      <c r="H377">
        <v>-98.024675847385197</v>
      </c>
      <c r="I377">
        <v>116.026462076668</v>
      </c>
      <c r="J377">
        <v>-98.110515473715012</v>
      </c>
    </row>
    <row r="378" spans="1:10" x14ac:dyDescent="0.3">
      <c r="A378">
        <v>114.431351101266</v>
      </c>
      <c r="B378">
        <v>-98.135311376136002</v>
      </c>
      <c r="C378">
        <v>114.431351101266</v>
      </c>
      <c r="D378">
        <v>-97.999494152145999</v>
      </c>
      <c r="G378">
        <v>114.431351101266</v>
      </c>
      <c r="H378">
        <v>-98.1084220174112</v>
      </c>
      <c r="I378">
        <v>114.431351101266</v>
      </c>
      <c r="J378">
        <v>-98.081316143012188</v>
      </c>
    </row>
    <row r="379" spans="1:10" x14ac:dyDescent="0.3">
      <c r="A379">
        <v>112.858169425252</v>
      </c>
      <c r="B379">
        <v>-98.175755694127204</v>
      </c>
      <c r="C379">
        <v>112.858169425252</v>
      </c>
      <c r="D379">
        <v>-97.910199151504401</v>
      </c>
      <c r="G379">
        <v>112.858169425252</v>
      </c>
      <c r="H379">
        <v>-97.974429758313605</v>
      </c>
      <c r="I379">
        <v>112.858169425252</v>
      </c>
      <c r="J379">
        <v>-98.112286718964</v>
      </c>
    </row>
    <row r="380" spans="1:10" x14ac:dyDescent="0.3">
      <c r="A380">
        <v>111.30661556855399</v>
      </c>
      <c r="B380">
        <v>-98.167182840907827</v>
      </c>
      <c r="C380">
        <v>111.30661556855399</v>
      </c>
      <c r="D380">
        <v>-97.996474099972886</v>
      </c>
      <c r="G380">
        <v>111.30661556855399</v>
      </c>
      <c r="H380">
        <v>-97.944199861548398</v>
      </c>
      <c r="I380">
        <v>111.30661556855399</v>
      </c>
      <c r="J380">
        <v>-97.942951260228099</v>
      </c>
    </row>
    <row r="381" spans="1:10" x14ac:dyDescent="0.3">
      <c r="A381">
        <v>109.776392195794</v>
      </c>
      <c r="B381">
        <v>-98.119792939408399</v>
      </c>
      <c r="C381">
        <v>109.776392195794</v>
      </c>
      <c r="D381">
        <v>-97.977171828928789</v>
      </c>
      <c r="G381">
        <v>109.776392195794</v>
      </c>
      <c r="H381">
        <v>-98.106805807545996</v>
      </c>
      <c r="I381">
        <v>109.776392195794</v>
      </c>
      <c r="J381">
        <v>-97.987385157982828</v>
      </c>
    </row>
    <row r="382" spans="1:10" x14ac:dyDescent="0.3">
      <c r="A382">
        <v>108.26720605930799</v>
      </c>
      <c r="B382">
        <v>-98.135408698152986</v>
      </c>
      <c r="C382">
        <v>108.26720605930799</v>
      </c>
      <c r="D382">
        <v>-97.890636737755798</v>
      </c>
      <c r="G382">
        <v>108.26720605930799</v>
      </c>
      <c r="H382">
        <v>-98.034269297289995</v>
      </c>
      <c r="I382">
        <v>108.26720605930799</v>
      </c>
      <c r="J382">
        <v>-98.02092037250209</v>
      </c>
    </row>
    <row r="383" spans="1:10" x14ac:dyDescent="0.3">
      <c r="A383">
        <v>106.77876794294799</v>
      </c>
      <c r="B383">
        <v>-98.14418471683048</v>
      </c>
      <c r="C383">
        <v>106.77876794294799</v>
      </c>
      <c r="D383">
        <v>-97.924973758974701</v>
      </c>
      <c r="G383">
        <v>106.77876794294799</v>
      </c>
      <c r="H383">
        <v>-97.987293185262899</v>
      </c>
      <c r="I383">
        <v>106.77876794294799</v>
      </c>
      <c r="J383">
        <v>-98.008108362810802</v>
      </c>
    </row>
    <row r="384" spans="1:10" x14ac:dyDescent="0.3">
      <c r="A384">
        <v>105.31079260665599</v>
      </c>
      <c r="B384">
        <v>-98.194992160539798</v>
      </c>
      <c r="C384">
        <v>105.31079260665599</v>
      </c>
      <c r="D384">
        <v>-98.01712388394499</v>
      </c>
      <c r="G384">
        <v>105.31079260665599</v>
      </c>
      <c r="H384">
        <v>-97.921352370839102</v>
      </c>
      <c r="I384">
        <v>105.31079260665599</v>
      </c>
      <c r="J384">
        <v>-97.894536533038405</v>
      </c>
    </row>
    <row r="385" spans="1:10" x14ac:dyDescent="0.3">
      <c r="A385">
        <v>103.86299873180499</v>
      </c>
      <c r="B385">
        <v>-98.143188563407506</v>
      </c>
      <c r="C385">
        <v>103.86299873180499</v>
      </c>
      <c r="D385">
        <v>-97.906482007523394</v>
      </c>
      <c r="G385">
        <v>103.86299873180499</v>
      </c>
      <c r="H385">
        <v>-98.094721247746406</v>
      </c>
      <c r="I385">
        <v>103.86299873180499</v>
      </c>
      <c r="J385">
        <v>-98.124548667760195</v>
      </c>
    </row>
    <row r="386" spans="1:10" x14ac:dyDescent="0.3">
      <c r="A386">
        <v>102.435108867285</v>
      </c>
      <c r="B386">
        <v>-98.054023663527104</v>
      </c>
      <c r="C386">
        <v>102.435108867285</v>
      </c>
      <c r="D386">
        <v>-97.966505786411005</v>
      </c>
      <c r="G386">
        <v>102.435108867285</v>
      </c>
      <c r="H386">
        <v>-98.02079516590041</v>
      </c>
      <c r="I386">
        <v>102.435108867285</v>
      </c>
      <c r="J386">
        <v>-98.175597351244193</v>
      </c>
    </row>
    <row r="387" spans="1:10" x14ac:dyDescent="0.3">
      <c r="A387">
        <v>101.026849376336</v>
      </c>
      <c r="B387">
        <v>-98.148114079640294</v>
      </c>
      <c r="C387">
        <v>101.026849376336</v>
      </c>
      <c r="D387">
        <v>-97.877024185334704</v>
      </c>
      <c r="G387">
        <v>101.026849376336</v>
      </c>
      <c r="H387">
        <v>-98.089353365855601</v>
      </c>
      <c r="I387">
        <v>101.026849376336</v>
      </c>
      <c r="J387">
        <v>-98.230063453800398</v>
      </c>
    </row>
    <row r="388" spans="1:10" x14ac:dyDescent="0.3">
      <c r="A388">
        <v>99.637950384103917</v>
      </c>
      <c r="B388">
        <v>-98.127747778718003</v>
      </c>
      <c r="C388">
        <v>99.637950384103917</v>
      </c>
      <c r="D388">
        <v>-98.089772976960802</v>
      </c>
      <c r="G388">
        <v>99.637950384103917</v>
      </c>
      <c r="H388">
        <v>-97.933098863133083</v>
      </c>
      <c r="I388">
        <v>99.637950384103917</v>
      </c>
      <c r="J388">
        <v>-97.964030711889791</v>
      </c>
    </row>
    <row r="389" spans="1:10" x14ac:dyDescent="0.3">
      <c r="A389">
        <v>98.268145725927866</v>
      </c>
      <c r="B389">
        <v>-98.059579449543193</v>
      </c>
      <c r="C389">
        <v>98.268145725927866</v>
      </c>
      <c r="D389">
        <v>-97.933882952737093</v>
      </c>
      <c r="G389">
        <v>98.268145725927866</v>
      </c>
      <c r="H389">
        <v>-98.10259193686808</v>
      </c>
      <c r="I389">
        <v>98.268145725927866</v>
      </c>
      <c r="J389">
        <v>-98.041301933180094</v>
      </c>
    </row>
    <row r="390" spans="1:10" x14ac:dyDescent="0.3">
      <c r="A390">
        <v>96.917172896330499</v>
      </c>
      <c r="B390">
        <v>-98.072255182129894</v>
      </c>
      <c r="C390">
        <v>96.917172896330499</v>
      </c>
      <c r="D390">
        <v>-97.866765004262902</v>
      </c>
      <c r="G390">
        <v>96.917172896330499</v>
      </c>
      <c r="H390">
        <v>-98.11328258231741</v>
      </c>
      <c r="I390">
        <v>96.917172896330499</v>
      </c>
      <c r="J390">
        <v>-98.132598883482089</v>
      </c>
    </row>
    <row r="391" spans="1:10" x14ac:dyDescent="0.3">
      <c r="A391">
        <v>95.584772998712609</v>
      </c>
      <c r="B391">
        <v>-98.226600088001405</v>
      </c>
      <c r="C391">
        <v>95.584772998712609</v>
      </c>
      <c r="D391">
        <v>-98.007696374603668</v>
      </c>
      <c r="G391">
        <v>95.584772998712609</v>
      </c>
      <c r="H391">
        <v>-98.000052721708101</v>
      </c>
      <c r="I391">
        <v>95.584772998712609</v>
      </c>
      <c r="J391">
        <v>-98.0782969704088</v>
      </c>
    </row>
    <row r="392" spans="1:10" x14ac:dyDescent="0.3">
      <c r="A392">
        <v>94.270690695738807</v>
      </c>
      <c r="B392">
        <v>-97.953337338657207</v>
      </c>
      <c r="C392">
        <v>94.270690695738807</v>
      </c>
      <c r="D392">
        <v>-97.975085453382704</v>
      </c>
      <c r="G392">
        <v>94.270690695738807</v>
      </c>
      <c r="H392">
        <v>-98.006380130195197</v>
      </c>
      <c r="I392">
        <v>94.270690695738807</v>
      </c>
      <c r="J392">
        <v>-97.958131190964494</v>
      </c>
    </row>
    <row r="393" spans="1:10" x14ac:dyDescent="0.3">
      <c r="A393">
        <v>92.974674160405684</v>
      </c>
      <c r="B393">
        <v>-98.138023436466227</v>
      </c>
      <c r="C393">
        <v>92.974674160405684</v>
      </c>
      <c r="D393">
        <v>-98.042892967164477</v>
      </c>
      <c r="G393">
        <v>92.974674160405684</v>
      </c>
      <c r="H393">
        <v>-98.023791183596899</v>
      </c>
      <c r="I393">
        <v>92.974674160405684</v>
      </c>
      <c r="J393">
        <v>-98.104706864056979</v>
      </c>
    </row>
    <row r="394" spans="1:10" x14ac:dyDescent="0.3">
      <c r="A394">
        <v>91.696475027782483</v>
      </c>
      <c r="B394">
        <v>-98.179973484963995</v>
      </c>
      <c r="C394">
        <v>91.696475027782483</v>
      </c>
      <c r="D394">
        <v>-97.934754794813699</v>
      </c>
      <c r="G394">
        <v>91.696475027782483</v>
      </c>
      <c r="H394">
        <v>-97.889875950137281</v>
      </c>
      <c r="I394">
        <v>91.696475027782483</v>
      </c>
      <c r="J394">
        <v>-97.919684695711609</v>
      </c>
    </row>
    <row r="395" spans="1:10" x14ac:dyDescent="0.3">
      <c r="A395">
        <v>90.435848347414591</v>
      </c>
      <c r="B395">
        <v>-98.162227186906307</v>
      </c>
      <c r="C395">
        <v>90.435848347414591</v>
      </c>
      <c r="D395">
        <v>-97.988108767676295</v>
      </c>
      <c r="G395">
        <v>90.435848347414591</v>
      </c>
      <c r="H395">
        <v>-98.02257620315261</v>
      </c>
      <c r="I395">
        <v>90.435848347414591</v>
      </c>
      <c r="J395">
        <v>-98.011843719329505</v>
      </c>
    </row>
    <row r="396" spans="1:10" x14ac:dyDescent="0.3">
      <c r="A396">
        <v>89.192552536382394</v>
      </c>
      <c r="B396">
        <v>-98.156559175903084</v>
      </c>
      <c r="C396">
        <v>89.192552536382394</v>
      </c>
      <c r="D396">
        <v>-98.003067016807393</v>
      </c>
      <c r="G396">
        <v>89.192552536382394</v>
      </c>
      <c r="H396">
        <v>-97.957168656337203</v>
      </c>
      <c r="I396">
        <v>89.192552536382394</v>
      </c>
      <c r="J396">
        <v>-98.070173715944605</v>
      </c>
    </row>
    <row r="397" spans="1:10" x14ac:dyDescent="0.3">
      <c r="A397">
        <v>87.966349333005013</v>
      </c>
      <c r="B397">
        <v>-98.161271545175808</v>
      </c>
      <c r="C397">
        <v>87.966349333005013</v>
      </c>
      <c r="D397">
        <v>-97.945235944347885</v>
      </c>
      <c r="G397">
        <v>87.966349333005013</v>
      </c>
      <c r="H397">
        <v>-97.981510691121201</v>
      </c>
      <c r="I397">
        <v>87.966349333005013</v>
      </c>
      <c r="J397">
        <v>-98.003983702052196</v>
      </c>
    </row>
    <row r="398" spans="1:10" x14ac:dyDescent="0.3">
      <c r="A398">
        <v>86.757003751180306</v>
      </c>
      <c r="B398">
        <v>-98.191050691854201</v>
      </c>
      <c r="C398">
        <v>86.757003751180306</v>
      </c>
      <c r="D398">
        <v>-97.949124449024083</v>
      </c>
      <c r="G398">
        <v>86.757003751180306</v>
      </c>
      <c r="H398">
        <v>-98.113431038917483</v>
      </c>
      <c r="I398">
        <v>86.757003751180306</v>
      </c>
      <c r="J398">
        <v>-98.039421399150399</v>
      </c>
    </row>
    <row r="399" spans="1:10" x14ac:dyDescent="0.3">
      <c r="A399">
        <v>85.564284035352813</v>
      </c>
      <c r="B399">
        <v>-98.0825232926816</v>
      </c>
      <c r="C399">
        <v>85.564284035352813</v>
      </c>
      <c r="D399">
        <v>-97.944397665239805</v>
      </c>
      <c r="G399">
        <v>85.564284035352813</v>
      </c>
      <c r="H399">
        <v>-98.096715806444081</v>
      </c>
      <c r="I399">
        <v>85.564284035352813</v>
      </c>
      <c r="J399">
        <v>-97.986035625268883</v>
      </c>
    </row>
    <row r="400" spans="1:10" x14ac:dyDescent="0.3">
      <c r="A400">
        <v>84.387961616100995</v>
      </c>
      <c r="B400">
        <v>-98.179966201612615</v>
      </c>
      <c r="C400">
        <v>84.387961616100995</v>
      </c>
      <c r="D400">
        <v>-98.037626638645406</v>
      </c>
      <c r="G400">
        <v>84.387961616100995</v>
      </c>
      <c r="H400">
        <v>-97.932250974394805</v>
      </c>
      <c r="I400">
        <v>84.387961616100995</v>
      </c>
      <c r="J400">
        <v>-98.034788800093423</v>
      </c>
    </row>
    <row r="401" spans="1:10" x14ac:dyDescent="0.3">
      <c r="A401">
        <v>83.227811066334596</v>
      </c>
      <c r="B401">
        <v>-98.118879764556993</v>
      </c>
      <c r="C401">
        <v>83.227811066334596</v>
      </c>
      <c r="D401">
        <v>-97.984574086145102</v>
      </c>
      <c r="G401">
        <v>83.227811066334596</v>
      </c>
      <c r="H401">
        <v>-98.129460539435385</v>
      </c>
      <c r="I401">
        <v>83.227811066334596</v>
      </c>
      <c r="J401">
        <v>-98.098798978533793</v>
      </c>
    </row>
    <row r="402" spans="1:10" x14ac:dyDescent="0.3">
      <c r="A402">
        <v>82.083610058094592</v>
      </c>
      <c r="B402">
        <v>-98.125187994589453</v>
      </c>
      <c r="C402">
        <v>82.083610058094592</v>
      </c>
      <c r="D402">
        <v>-98.032902603238483</v>
      </c>
      <c r="G402">
        <v>82.083610058094592</v>
      </c>
      <c r="H402">
        <v>-98.08637505646108</v>
      </c>
      <c r="I402">
        <v>82.083610058094592</v>
      </c>
      <c r="J402">
        <v>-98.138046238102802</v>
      </c>
    </row>
    <row r="403" spans="1:10" x14ac:dyDescent="0.3">
      <c r="A403">
        <v>80.955139319946895</v>
      </c>
      <c r="B403">
        <v>-98.211285274443</v>
      </c>
      <c r="C403">
        <v>80.955139319946895</v>
      </c>
      <c r="D403">
        <v>-98.066022844308407</v>
      </c>
      <c r="G403">
        <v>80.955139319946895</v>
      </c>
      <c r="H403">
        <v>-98.116213548934212</v>
      </c>
      <c r="I403">
        <v>80.955139319946895</v>
      </c>
      <c r="J403">
        <v>-98.033943691233276</v>
      </c>
    </row>
    <row r="404" spans="1:10" x14ac:dyDescent="0.3">
      <c r="A404">
        <v>79.842182594961514</v>
      </c>
      <c r="B404">
        <v>-98.053537807681408</v>
      </c>
      <c r="C404">
        <v>79.842182594961514</v>
      </c>
      <c r="D404">
        <v>-98.049457517146806</v>
      </c>
      <c r="G404">
        <v>79.842182594961514</v>
      </c>
      <c r="H404">
        <v>-98.131056233799995</v>
      </c>
      <c r="I404">
        <v>79.842182594961514</v>
      </c>
      <c r="J404">
        <v>-98.08871509693148</v>
      </c>
    </row>
    <row r="405" spans="1:10" x14ac:dyDescent="0.3">
      <c r="A405">
        <v>78.744526599270088</v>
      </c>
      <c r="B405">
        <v>-98.086475407604993</v>
      </c>
      <c r="C405">
        <v>78.744526599270088</v>
      </c>
      <c r="D405">
        <v>-98.012084708619852</v>
      </c>
      <c r="G405">
        <v>78.744526599270088</v>
      </c>
      <c r="H405">
        <v>-97.95531895613459</v>
      </c>
      <c r="I405">
        <v>78.744526599270088</v>
      </c>
      <c r="J405">
        <v>-98.042513411075902</v>
      </c>
    </row>
    <row r="406" spans="1:10" x14ac:dyDescent="0.3">
      <c r="A406">
        <v>77.661960981192607</v>
      </c>
      <c r="B406">
        <v>-98.127202143384878</v>
      </c>
      <c r="C406">
        <v>77.661960981192607</v>
      </c>
      <c r="D406">
        <v>-98.145598956374414</v>
      </c>
      <c r="G406">
        <v>77.661960981192607</v>
      </c>
      <c r="H406">
        <v>-98.048070569887869</v>
      </c>
      <c r="I406">
        <v>77.661960981192607</v>
      </c>
      <c r="J406">
        <v>-98.019423678048284</v>
      </c>
    </row>
    <row r="407" spans="1:10" x14ac:dyDescent="0.3">
      <c r="A407">
        <v>76.594278280926005</v>
      </c>
      <c r="B407">
        <v>-98.201566435798796</v>
      </c>
      <c r="C407">
        <v>76.594278280926005</v>
      </c>
      <c r="D407">
        <v>-98.058153171283593</v>
      </c>
      <c r="G407">
        <v>76.594278280926005</v>
      </c>
      <c r="H407">
        <v>-98.006274172031084</v>
      </c>
      <c r="I407">
        <v>76.594278280926005</v>
      </c>
      <c r="J407">
        <v>-97.968418845363701</v>
      </c>
    </row>
    <row r="408" spans="1:10" x14ac:dyDescent="0.3">
      <c r="A408">
        <v>75.541273890787821</v>
      </c>
      <c r="B408">
        <v>-98.128247188799605</v>
      </c>
      <c r="C408">
        <v>75.541273890787821</v>
      </c>
      <c r="D408">
        <v>-98.049609911732077</v>
      </c>
      <c r="G408">
        <v>75.541273890787821</v>
      </c>
      <c r="H408">
        <v>-97.987899172430573</v>
      </c>
      <c r="I408">
        <v>75.541273890787821</v>
      </c>
      <c r="J408">
        <v>-98.028778441770996</v>
      </c>
    </row>
    <row r="409" spans="1:10" x14ac:dyDescent="0.3">
      <c r="A409">
        <v>74.502746016004593</v>
      </c>
      <c r="B409">
        <v>-98.118339759302884</v>
      </c>
      <c r="C409">
        <v>74.502746016004593</v>
      </c>
      <c r="D409">
        <v>-97.902748883594398</v>
      </c>
      <c r="G409">
        <v>74.502746016004593</v>
      </c>
      <c r="H409">
        <v>-98.101069699511484</v>
      </c>
      <c r="I409">
        <v>74.502746016004593</v>
      </c>
      <c r="J409">
        <v>-98.122460908827279</v>
      </c>
    </row>
    <row r="410" spans="1:10" x14ac:dyDescent="0.3">
      <c r="A410">
        <v>73.478495636041885</v>
      </c>
      <c r="B410">
        <v>-98.168638868136199</v>
      </c>
      <c r="C410">
        <v>73.478495636041885</v>
      </c>
      <c r="D410">
        <v>-98.038187187017598</v>
      </c>
      <c r="G410">
        <v>73.478495636041885</v>
      </c>
      <c r="H410">
        <v>-97.979824242596294</v>
      </c>
      <c r="I410">
        <v>73.478495636041885</v>
      </c>
      <c r="J410">
        <v>-98.042229006968398</v>
      </c>
    </row>
    <row r="411" spans="1:10" x14ac:dyDescent="0.3">
      <c r="A411">
        <v>72.468326466463381</v>
      </c>
      <c r="B411">
        <v>-98.151424718185282</v>
      </c>
      <c r="C411">
        <v>72.468326466463381</v>
      </c>
      <c r="D411">
        <v>-97.960338212240998</v>
      </c>
      <c r="G411">
        <v>72.468326466463381</v>
      </c>
      <c r="H411">
        <v>-98.120870733348198</v>
      </c>
      <c r="I411">
        <v>72.468326466463381</v>
      </c>
      <c r="J411">
        <v>-98.117598183904192</v>
      </c>
    </row>
    <row r="412" spans="1:10" x14ac:dyDescent="0.3">
      <c r="A412">
        <v>71.472044921316098</v>
      </c>
      <c r="B412">
        <v>-98.092443830543885</v>
      </c>
      <c r="C412">
        <v>71.472044921316098</v>
      </c>
      <c r="D412">
        <v>-97.974068321228103</v>
      </c>
      <c r="G412">
        <v>71.472044921316098</v>
      </c>
      <c r="H412">
        <v>-98.073471751353708</v>
      </c>
      <c r="I412">
        <v>71.472044921316098</v>
      </c>
      <c r="J412">
        <v>-98.070067154009678</v>
      </c>
    </row>
    <row r="413" spans="1:10" x14ac:dyDescent="0.3">
      <c r="A413">
        <v>70.489460076032103</v>
      </c>
      <c r="B413">
        <v>-98.155190254188611</v>
      </c>
      <c r="C413">
        <v>70.489460076032103</v>
      </c>
      <c r="D413">
        <v>-97.9829555196374</v>
      </c>
      <c r="G413">
        <v>70.489460076032103</v>
      </c>
      <c r="H413">
        <v>-97.930359414695403</v>
      </c>
      <c r="I413">
        <v>70.489460076032103</v>
      </c>
      <c r="J413">
        <v>-98.0649726274561</v>
      </c>
    </row>
    <row r="414" spans="1:10" x14ac:dyDescent="0.3">
      <c r="A414">
        <v>69.520383630839916</v>
      </c>
      <c r="B414">
        <v>-98.168080960368499</v>
      </c>
      <c r="C414">
        <v>69.520383630839916</v>
      </c>
      <c r="D414">
        <v>-98.022479549705082</v>
      </c>
      <c r="G414">
        <v>69.520383630839916</v>
      </c>
      <c r="H414">
        <v>-98.017821622359051</v>
      </c>
      <c r="I414">
        <v>69.520383630839916</v>
      </c>
      <c r="J414">
        <v>-98.119564297627505</v>
      </c>
    </row>
    <row r="415" spans="1:10" x14ac:dyDescent="0.3">
      <c r="A415">
        <v>68.564629874679795</v>
      </c>
      <c r="B415">
        <v>-98.135551634003818</v>
      </c>
      <c r="C415">
        <v>68.564629874679795</v>
      </c>
      <c r="D415">
        <v>-98.024461432223902</v>
      </c>
      <c r="G415">
        <v>68.564629874679795</v>
      </c>
      <c r="H415">
        <v>-98.100085582422892</v>
      </c>
      <c r="I415">
        <v>68.564629874679795</v>
      </c>
      <c r="J415">
        <v>-98.169961046102003</v>
      </c>
    </row>
    <row r="416" spans="1:10" x14ac:dyDescent="0.3">
      <c r="A416">
        <v>67.622015649613999</v>
      </c>
      <c r="B416">
        <v>-98.113782917437106</v>
      </c>
      <c r="C416">
        <v>67.622015649613999</v>
      </c>
      <c r="D416">
        <v>-97.983139517531015</v>
      </c>
      <c r="G416">
        <v>67.622015649613999</v>
      </c>
      <c r="H416">
        <v>-98.069201614998804</v>
      </c>
      <c r="I416">
        <v>67.622015649613999</v>
      </c>
      <c r="J416">
        <v>-98.019594964624801</v>
      </c>
    </row>
    <row r="417" spans="1:10" x14ac:dyDescent="0.3">
      <c r="A417">
        <v>66.692360315727598</v>
      </c>
      <c r="B417">
        <v>-98.161829179370685</v>
      </c>
      <c r="C417">
        <v>66.692360315727598</v>
      </c>
      <c r="D417">
        <v>-98.008003619651703</v>
      </c>
      <c r="G417">
        <v>66.692360315727598</v>
      </c>
      <c r="H417">
        <v>-97.953594196803394</v>
      </c>
      <c r="I417">
        <v>66.692360315727598</v>
      </c>
      <c r="J417">
        <v>-97.990819184560706</v>
      </c>
    </row>
    <row r="418" spans="1:10" x14ac:dyDescent="0.3">
      <c r="A418">
        <v>65.775485716510602</v>
      </c>
      <c r="B418">
        <v>-98.173628263879053</v>
      </c>
      <c r="C418">
        <v>65.775485716510602</v>
      </c>
      <c r="D418">
        <v>-97.99546795619969</v>
      </c>
      <c r="G418">
        <v>65.775485716510602</v>
      </c>
      <c r="H418">
        <v>-97.968830582579386</v>
      </c>
      <c r="I418">
        <v>65.775485716510602</v>
      </c>
      <c r="J418">
        <v>-98.073137605045773</v>
      </c>
    </row>
    <row r="419" spans="1:10" x14ac:dyDescent="0.3">
      <c r="A419">
        <v>64.871216144716499</v>
      </c>
      <c r="B419">
        <v>-98.190794470617107</v>
      </c>
      <c r="C419">
        <v>64.871216144716499</v>
      </c>
      <c r="D419">
        <v>-98.056754946019069</v>
      </c>
      <c r="G419">
        <v>64.871216144716499</v>
      </c>
      <c r="H419">
        <v>-98.065380583876404</v>
      </c>
      <c r="I419">
        <v>64.871216144716499</v>
      </c>
      <c r="J419">
        <v>-98.017250678723599</v>
      </c>
    </row>
    <row r="420" spans="1:10" x14ac:dyDescent="0.3">
      <c r="A420">
        <v>63.979378308690997</v>
      </c>
      <c r="B420">
        <v>-98.14265909203408</v>
      </c>
      <c r="C420">
        <v>63.979378308690997</v>
      </c>
      <c r="D420">
        <v>-97.922587864188003</v>
      </c>
      <c r="G420">
        <v>63.979378308690997</v>
      </c>
      <c r="H420">
        <v>-98.009531436425704</v>
      </c>
      <c r="I420">
        <v>63.979378308690997</v>
      </c>
      <c r="J420">
        <v>-98.054836994476304</v>
      </c>
    </row>
    <row r="421" spans="1:10" x14ac:dyDescent="0.3">
      <c r="A421">
        <v>63.099801299162003</v>
      </c>
      <c r="B421">
        <v>-98.058384610548202</v>
      </c>
      <c r="C421">
        <v>63.099801299162003</v>
      </c>
      <c r="D421">
        <v>-97.930519490471596</v>
      </c>
      <c r="G421">
        <v>63.099801299162003</v>
      </c>
      <c r="H421">
        <v>-98.007582928198204</v>
      </c>
      <c r="I421">
        <v>63.099801299162003</v>
      </c>
      <c r="J421">
        <v>-98.051828698996502</v>
      </c>
    </row>
    <row r="422" spans="1:10" x14ac:dyDescent="0.3">
      <c r="A422">
        <v>62.232316556487504</v>
      </c>
      <c r="B422">
        <v>-98.1182484161763</v>
      </c>
      <c r="C422">
        <v>62.232316556487504</v>
      </c>
      <c r="D422">
        <v>-97.974851118309104</v>
      </c>
      <c r="G422">
        <v>62.232316556487504</v>
      </c>
      <c r="H422">
        <v>-98.066140846077502</v>
      </c>
      <c r="I422">
        <v>62.232316556487504</v>
      </c>
      <c r="J422">
        <v>-98.015430553123991</v>
      </c>
    </row>
    <row r="423" spans="1:10" x14ac:dyDescent="0.3">
      <c r="A423">
        <v>61.3767578383531</v>
      </c>
      <c r="B423">
        <v>-98.149067375994306</v>
      </c>
      <c r="C423">
        <v>61.3767578383531</v>
      </c>
      <c r="D423">
        <v>-97.959628351274304</v>
      </c>
      <c r="G423">
        <v>61.3767578383531</v>
      </c>
      <c r="H423">
        <v>-98.099770555461404</v>
      </c>
      <c r="I423">
        <v>61.3767578383531</v>
      </c>
      <c r="J423">
        <v>-98.161634625080481</v>
      </c>
    </row>
    <row r="424" spans="1:10" x14ac:dyDescent="0.3">
      <c r="A424">
        <v>60.532961187914097</v>
      </c>
      <c r="B424">
        <v>-98.155065828605302</v>
      </c>
      <c r="C424">
        <v>60.532961187914097</v>
      </c>
      <c r="D424">
        <v>-97.972483191838876</v>
      </c>
      <c r="G424">
        <v>60.532961187914097</v>
      </c>
      <c r="H424">
        <v>-98.095655725977593</v>
      </c>
      <c r="I424">
        <v>60.532961187914097</v>
      </c>
      <c r="J424">
        <v>-98.133032278359195</v>
      </c>
    </row>
    <row r="425" spans="1:10" x14ac:dyDescent="0.3">
      <c r="A425">
        <v>59.7007649023749</v>
      </c>
      <c r="B425">
        <v>-98.13445553970088</v>
      </c>
      <c r="C425">
        <v>59.7007649023749</v>
      </c>
      <c r="D425">
        <v>-97.953072278742084</v>
      </c>
      <c r="G425">
        <v>59.7007649023749</v>
      </c>
      <c r="H425">
        <v>-98.126937114975007</v>
      </c>
      <c r="I425">
        <v>59.7007649023749</v>
      </c>
      <c r="J425">
        <v>-98.032650289361897</v>
      </c>
    </row>
    <row r="426" spans="1:10" x14ac:dyDescent="0.3">
      <c r="A426">
        <v>58.880009502001002</v>
      </c>
      <c r="B426">
        <v>-98.179503239221702</v>
      </c>
      <c r="C426">
        <v>58.880009502001002</v>
      </c>
      <c r="D426">
        <v>-98.040736175771201</v>
      </c>
      <c r="G426">
        <v>58.880009502001002</v>
      </c>
      <c r="H426">
        <v>-98.089298221686803</v>
      </c>
      <c r="I426">
        <v>58.880009502001002</v>
      </c>
      <c r="J426">
        <v>-98.137092427865085</v>
      </c>
    </row>
    <row r="427" spans="1:10" x14ac:dyDescent="0.3">
      <c r="A427">
        <v>58.070537699556496</v>
      </c>
      <c r="B427">
        <v>-98.182724115362404</v>
      </c>
      <c r="C427">
        <v>58.070537699556496</v>
      </c>
      <c r="D427">
        <v>-97.928500462570227</v>
      </c>
      <c r="G427">
        <v>58.070537699556496</v>
      </c>
      <c r="H427">
        <v>-98.15375450600888</v>
      </c>
      <c r="I427">
        <v>58.070537699556496</v>
      </c>
      <c r="J427">
        <v>-98.053114584222214</v>
      </c>
    </row>
    <row r="428" spans="1:10" x14ac:dyDescent="0.3">
      <c r="A428">
        <v>57.272194370162602</v>
      </c>
      <c r="B428">
        <v>-97.959178569811996</v>
      </c>
      <c r="C428">
        <v>57.272194370162602</v>
      </c>
      <c r="D428">
        <v>-97.838003848267007</v>
      </c>
      <c r="G428">
        <v>57.272194370162602</v>
      </c>
      <c r="H428">
        <v>-97.999216506498399</v>
      </c>
      <c r="I428">
        <v>57.272194370162602</v>
      </c>
      <c r="J428">
        <v>-98.079797699380407</v>
      </c>
    </row>
    <row r="429" spans="1:10" x14ac:dyDescent="0.3">
      <c r="A429">
        <v>56.484826521568898</v>
      </c>
      <c r="B429">
        <v>-98.169354585282804</v>
      </c>
      <c r="C429">
        <v>56.484826521568898</v>
      </c>
      <c r="D429">
        <v>-97.993997069200503</v>
      </c>
      <c r="G429">
        <v>56.484826521568898</v>
      </c>
      <c r="H429">
        <v>-98.027587989327003</v>
      </c>
      <c r="I429">
        <v>56.484826521568898</v>
      </c>
      <c r="J429">
        <v>-98.014519254313598</v>
      </c>
    </row>
    <row r="430" spans="1:10" x14ac:dyDescent="0.3">
      <c r="A430">
        <v>55.7082832648356</v>
      </c>
      <c r="B430">
        <v>-98.193274643433284</v>
      </c>
      <c r="C430">
        <v>55.7082832648356</v>
      </c>
      <c r="D430">
        <v>-98.0509889114077</v>
      </c>
      <c r="G430">
        <v>55.7082832648356</v>
      </c>
      <c r="H430">
        <v>-98.122908127935901</v>
      </c>
      <c r="I430">
        <v>55.7082832648356</v>
      </c>
      <c r="J430">
        <v>-98.128395688055392</v>
      </c>
    </row>
    <row r="431" spans="1:10" x14ac:dyDescent="0.3">
      <c r="A431">
        <v>54.9424157854165</v>
      </c>
      <c r="B431">
        <v>-98.167813711808392</v>
      </c>
      <c r="C431">
        <v>54.9424157854165</v>
      </c>
      <c r="D431">
        <v>-98.046089586215686</v>
      </c>
      <c r="G431">
        <v>54.9424157854165</v>
      </c>
      <c r="H431">
        <v>-98.030264237713993</v>
      </c>
      <c r="I431">
        <v>54.9424157854165</v>
      </c>
      <c r="J431">
        <v>-97.963937597597678</v>
      </c>
    </row>
    <row r="432" spans="1:10" x14ac:dyDescent="0.3">
      <c r="A432">
        <v>54.187077314641201</v>
      </c>
      <c r="B432">
        <v>-98.191268271678595</v>
      </c>
      <c r="C432">
        <v>54.187077314641201</v>
      </c>
      <c r="D432">
        <v>-97.892992674973428</v>
      </c>
      <c r="G432">
        <v>54.187077314641201</v>
      </c>
      <c r="H432">
        <v>-98.148973719093107</v>
      </c>
      <c r="I432">
        <v>54.187077314641201</v>
      </c>
      <c r="J432">
        <v>-98.065938155230228</v>
      </c>
    </row>
    <row r="433" spans="1:10" x14ac:dyDescent="0.3">
      <c r="A433">
        <v>53.442123101588898</v>
      </c>
      <c r="B433">
        <v>-98.12888736033841</v>
      </c>
      <c r="C433">
        <v>53.442123101588898</v>
      </c>
      <c r="D433">
        <v>-97.972211225552002</v>
      </c>
      <c r="G433">
        <v>53.442123101588898</v>
      </c>
      <c r="H433">
        <v>-98.057756880181884</v>
      </c>
      <c r="I433">
        <v>53.442123101588898</v>
      </c>
      <c r="J433">
        <v>-98.080084729412192</v>
      </c>
    </row>
    <row r="434" spans="1:10" x14ac:dyDescent="0.3">
      <c r="A434">
        <v>52.707410385348098</v>
      </c>
      <c r="B434">
        <v>-98.125943403427684</v>
      </c>
      <c r="C434">
        <v>52.707410385348098</v>
      </c>
      <c r="D434">
        <v>-97.957202008349881</v>
      </c>
      <c r="G434">
        <v>52.707410385348098</v>
      </c>
      <c r="H434">
        <v>-98.073627228755683</v>
      </c>
      <c r="I434">
        <v>52.707410385348098</v>
      </c>
      <c r="J434">
        <v>-98.089614782571388</v>
      </c>
    </row>
    <row r="435" spans="1:10" x14ac:dyDescent="0.3">
      <c r="A435">
        <v>51.982798367658894</v>
      </c>
      <c r="B435">
        <v>-98.126470174434104</v>
      </c>
      <c r="C435">
        <v>51.982798367658894</v>
      </c>
      <c r="D435">
        <v>-97.96844149175719</v>
      </c>
      <c r="G435">
        <v>51.982798367658894</v>
      </c>
      <c r="H435">
        <v>-98.147805376922804</v>
      </c>
      <c r="I435">
        <v>51.982798367658894</v>
      </c>
      <c r="J435">
        <v>-98.063004313768602</v>
      </c>
    </row>
    <row r="436" spans="1:10" x14ac:dyDescent="0.3">
      <c r="A436">
        <v>51.268148185930499</v>
      </c>
      <c r="B436">
        <v>-98.102022333400399</v>
      </c>
      <c r="C436">
        <v>51.268148185930499</v>
      </c>
      <c r="D436">
        <v>-98.026942712777469</v>
      </c>
      <c r="G436">
        <v>51.268148185930499</v>
      </c>
      <c r="H436">
        <v>-98.194687525057603</v>
      </c>
      <c r="I436">
        <v>51.268148185930499</v>
      </c>
      <c r="J436">
        <v>-98.178183765653699</v>
      </c>
    </row>
    <row r="437" spans="1:10" x14ac:dyDescent="0.3">
      <c r="A437">
        <v>50.563322886630203</v>
      </c>
      <c r="B437">
        <v>-98.167115689075871</v>
      </c>
      <c r="C437">
        <v>50.563322886630203</v>
      </c>
      <c r="D437">
        <v>-98.095654162156293</v>
      </c>
      <c r="G437">
        <v>50.563322886630203</v>
      </c>
      <c r="H437">
        <v>-98.110132664100405</v>
      </c>
      <c r="I437">
        <v>50.563322886630203</v>
      </c>
      <c r="J437">
        <v>-98.123118537796671</v>
      </c>
    </row>
    <row r="438" spans="1:10" x14ac:dyDescent="0.3">
      <c r="A438">
        <v>49.868187399037801</v>
      </c>
      <c r="B438">
        <v>-98.116974059293412</v>
      </c>
      <c r="C438">
        <v>49.868187399037801</v>
      </c>
      <c r="D438">
        <v>-97.947957218324078</v>
      </c>
      <c r="G438">
        <v>49.868187399037801</v>
      </c>
      <c r="H438">
        <v>-98.062134144466583</v>
      </c>
      <c r="I438">
        <v>49.868187399037801</v>
      </c>
      <c r="J438">
        <v>-98.091577954163995</v>
      </c>
    </row>
    <row r="439" spans="1:10" x14ac:dyDescent="0.3">
      <c r="A439">
        <v>49.182608509361103</v>
      </c>
      <c r="B439">
        <v>-97.977988567562392</v>
      </c>
      <c r="C439">
        <v>49.182608509361103</v>
      </c>
      <c r="D439">
        <v>-97.890125911828605</v>
      </c>
      <c r="G439">
        <v>49.182608509361103</v>
      </c>
      <c r="H439">
        <v>-98.024427527368985</v>
      </c>
      <c r="I439">
        <v>49.182608509361103</v>
      </c>
      <c r="J439">
        <v>-97.989642449771594</v>
      </c>
    </row>
    <row r="440" spans="1:10" x14ac:dyDescent="0.3">
      <c r="A440">
        <v>48.506454835207201</v>
      </c>
      <c r="B440">
        <v>-98.122600005481289</v>
      </c>
      <c r="C440">
        <v>48.506454835207201</v>
      </c>
      <c r="D440">
        <v>-97.991663011619195</v>
      </c>
      <c r="G440">
        <v>48.506454835207201</v>
      </c>
      <c r="H440">
        <v>-98.138250845464597</v>
      </c>
      <c r="I440">
        <v>48.506454835207201</v>
      </c>
      <c r="J440">
        <v>-98.101685656377796</v>
      </c>
    </row>
    <row r="441" spans="1:10" x14ac:dyDescent="0.3">
      <c r="A441">
        <v>47.839596800404998</v>
      </c>
      <c r="B441">
        <v>-98.074368581673795</v>
      </c>
      <c r="C441">
        <v>47.839596800404998</v>
      </c>
      <c r="D441">
        <v>-97.93317762537167</v>
      </c>
      <c r="G441">
        <v>47.839596800404998</v>
      </c>
      <c r="H441">
        <v>-98.064110705536621</v>
      </c>
      <c r="I441">
        <v>47.839596800404998</v>
      </c>
      <c r="J441">
        <v>-98.095593168614414</v>
      </c>
    </row>
    <row r="442" spans="1:10" x14ac:dyDescent="0.3">
      <c r="A442">
        <v>47.181906610172895</v>
      </c>
      <c r="B442">
        <v>-98.14865133752339</v>
      </c>
      <c r="C442">
        <v>47.181906610172895</v>
      </c>
      <c r="D442">
        <v>-97.975336016196607</v>
      </c>
      <c r="G442">
        <v>47.181906610172895</v>
      </c>
      <c r="H442">
        <v>-98.162417532817685</v>
      </c>
      <c r="I442">
        <v>47.181906610172895</v>
      </c>
      <c r="J442">
        <v>-98.098063804938093</v>
      </c>
    </row>
    <row r="443" spans="1:10" x14ac:dyDescent="0.3">
      <c r="A443">
        <v>46.5332582266293</v>
      </c>
      <c r="B443">
        <v>-98.138919258767103</v>
      </c>
      <c r="C443">
        <v>46.5332582266293</v>
      </c>
      <c r="D443">
        <v>-97.997307152765885</v>
      </c>
      <c r="G443">
        <v>46.5332582266293</v>
      </c>
      <c r="H443">
        <v>-98.057810920416003</v>
      </c>
      <c r="I443">
        <v>46.5332582266293</v>
      </c>
      <c r="J443">
        <v>-98.114964480577882</v>
      </c>
    </row>
    <row r="444" spans="1:10" x14ac:dyDescent="0.3">
      <c r="A444">
        <v>45.893527344638898</v>
      </c>
      <c r="B444">
        <v>-98.215405818454499</v>
      </c>
      <c r="C444">
        <v>45.893527344638898</v>
      </c>
      <c r="D444">
        <v>-98.0778048090759</v>
      </c>
      <c r="G444">
        <v>45.893527344638898</v>
      </c>
      <c r="H444">
        <v>-97.9581335475673</v>
      </c>
      <c r="I444">
        <v>45.893527344638898</v>
      </c>
      <c r="J444">
        <v>-97.938132783234877</v>
      </c>
    </row>
    <row r="445" spans="1:10" x14ac:dyDescent="0.3">
      <c r="A445">
        <v>45.262591367990709</v>
      </c>
      <c r="B445">
        <v>-98.118764681844397</v>
      </c>
      <c r="C445">
        <v>45.262591367990709</v>
      </c>
      <c r="D445">
        <v>-98.066465595856101</v>
      </c>
      <c r="G445">
        <v>45.262591367990709</v>
      </c>
      <c r="H445">
        <v>-98.067321839809992</v>
      </c>
      <c r="I445">
        <v>45.262591367990709</v>
      </c>
      <c r="J445">
        <v>-98.042912652172802</v>
      </c>
    </row>
    <row r="446" spans="1:10" x14ac:dyDescent="0.3">
      <c r="A446">
        <v>44.640329385904799</v>
      </c>
      <c r="B446">
        <v>-98.077501137624395</v>
      </c>
      <c r="C446">
        <v>44.640329385904799</v>
      </c>
      <c r="D446">
        <v>-98.000016113755066</v>
      </c>
      <c r="G446">
        <v>44.640329385904799</v>
      </c>
      <c r="H446">
        <v>-98.069217200423395</v>
      </c>
      <c r="I446">
        <v>44.640329385904799</v>
      </c>
      <c r="J446">
        <v>-98.134000860643994</v>
      </c>
    </row>
    <row r="447" spans="1:10" x14ac:dyDescent="0.3">
      <c r="A447">
        <v>44.026622149860799</v>
      </c>
      <c r="B447">
        <v>-98.184601093362403</v>
      </c>
      <c r="C447">
        <v>44.026622149860799</v>
      </c>
      <c r="D447">
        <v>-98.052814260144302</v>
      </c>
      <c r="G447">
        <v>44.026622149860799</v>
      </c>
      <c r="H447">
        <v>-98.132764898248979</v>
      </c>
      <c r="I447">
        <v>44.026622149860799</v>
      </c>
      <c r="J447">
        <v>-98.142797091768401</v>
      </c>
    </row>
    <row r="448" spans="1:10" x14ac:dyDescent="0.3">
      <c r="A448">
        <v>43.421352050745405</v>
      </c>
      <c r="B448">
        <v>-98.161258128583995</v>
      </c>
      <c r="C448">
        <v>43.421352050745405</v>
      </c>
      <c r="D448">
        <v>-97.943432771633198</v>
      </c>
      <c r="G448">
        <v>43.421352050745405</v>
      </c>
      <c r="H448">
        <v>-98.040285150513199</v>
      </c>
      <c r="I448">
        <v>43.421352050745405</v>
      </c>
      <c r="J448">
        <v>-98.032148490545282</v>
      </c>
    </row>
    <row r="449" spans="1:10" x14ac:dyDescent="0.3">
      <c r="A449">
        <v>42.824403096314697</v>
      </c>
      <c r="B449">
        <v>-98.137972028813081</v>
      </c>
      <c r="C449">
        <v>42.824403096314697</v>
      </c>
      <c r="D449">
        <v>-97.99685041332441</v>
      </c>
      <c r="G449">
        <v>42.824403096314697</v>
      </c>
      <c r="H449">
        <v>-98.0068197071746</v>
      </c>
      <c r="I449">
        <v>42.824403096314697</v>
      </c>
      <c r="J449">
        <v>-97.961846869443079</v>
      </c>
    </row>
    <row r="450" spans="1:10" x14ac:dyDescent="0.3">
      <c r="A450">
        <v>42.235660888965</v>
      </c>
      <c r="B450">
        <v>-98.130280254202603</v>
      </c>
      <c r="C450">
        <v>42.235660888965</v>
      </c>
      <c r="D450">
        <v>-97.975105876161507</v>
      </c>
      <c r="G450">
        <v>42.235660888965</v>
      </c>
      <c r="H450">
        <v>-98.052398807352489</v>
      </c>
      <c r="I450">
        <v>42.235660888965</v>
      </c>
      <c r="J450">
        <v>-98.108096363889999</v>
      </c>
    </row>
    <row r="451" spans="1:10" x14ac:dyDescent="0.3">
      <c r="A451">
        <v>41.655012603810398</v>
      </c>
      <c r="B451">
        <v>-98.135997099297683</v>
      </c>
      <c r="C451">
        <v>41.655012603810398</v>
      </c>
      <c r="D451">
        <v>-97.897159819563115</v>
      </c>
      <c r="G451">
        <v>41.655012603810398</v>
      </c>
      <c r="H451">
        <v>-98.09737894708222</v>
      </c>
      <c r="I451">
        <v>41.655012603810398</v>
      </c>
      <c r="J451">
        <v>-98.111519835460996</v>
      </c>
    </row>
    <row r="452" spans="1:10" x14ac:dyDescent="0.3">
      <c r="A452">
        <v>41.082346967061405</v>
      </c>
      <c r="B452">
        <v>-98.067707538232597</v>
      </c>
      <c r="C452">
        <v>41.082346967061405</v>
      </c>
      <c r="D452">
        <v>-97.921788949106201</v>
      </c>
      <c r="G452">
        <v>41.082346967061405</v>
      </c>
      <c r="H452">
        <v>-98.003636069197682</v>
      </c>
      <c r="I452">
        <v>41.082346967061405</v>
      </c>
      <c r="J452">
        <v>-97.916505768955204</v>
      </c>
    </row>
    <row r="453" spans="1:10" x14ac:dyDescent="0.3">
      <c r="A453">
        <v>40.517554234700491</v>
      </c>
      <c r="B453">
        <v>-98.018975407834603</v>
      </c>
      <c r="C453">
        <v>40.517554234700491</v>
      </c>
      <c r="D453">
        <v>-97.858205384454791</v>
      </c>
      <c r="G453">
        <v>40.517554234700491</v>
      </c>
      <c r="H453">
        <v>-97.993395547375002</v>
      </c>
      <c r="I453">
        <v>40.517554234700491</v>
      </c>
      <c r="J453">
        <v>-98.051749987827392</v>
      </c>
    </row>
    <row r="454" spans="1:10" x14ac:dyDescent="0.3">
      <c r="A454">
        <v>39.960526171451107</v>
      </c>
      <c r="B454">
        <v>-98.083992942174007</v>
      </c>
      <c r="C454">
        <v>39.960526171451107</v>
      </c>
      <c r="D454">
        <v>-97.877403487282209</v>
      </c>
      <c r="G454">
        <v>39.960526171451107</v>
      </c>
      <c r="H454">
        <v>-97.991950356622269</v>
      </c>
      <c r="I454">
        <v>39.960526171451107</v>
      </c>
      <c r="J454">
        <v>-97.98367412365468</v>
      </c>
    </row>
    <row r="455" spans="1:10" x14ac:dyDescent="0.3">
      <c r="A455">
        <v>39.411156030036096</v>
      </c>
      <c r="B455">
        <v>-98.090444085649793</v>
      </c>
      <c r="C455">
        <v>39.411156030036096</v>
      </c>
      <c r="D455">
        <v>-97.944512240967811</v>
      </c>
      <c r="G455">
        <v>39.411156030036096</v>
      </c>
      <c r="H455">
        <v>-97.995262602170797</v>
      </c>
      <c r="I455">
        <v>39.411156030036096</v>
      </c>
      <c r="J455">
        <v>-98.043385745219851</v>
      </c>
    </row>
    <row r="456" spans="1:10" x14ac:dyDescent="0.3">
      <c r="A456">
        <v>38.869338530720498</v>
      </c>
      <c r="B456">
        <v>-98.220443991416005</v>
      </c>
      <c r="C456">
        <v>38.869338530720498</v>
      </c>
      <c r="D456">
        <v>-98.076951229896196</v>
      </c>
      <c r="G456">
        <v>38.869338530720498</v>
      </c>
      <c r="H456">
        <v>-98.109628920057503</v>
      </c>
      <c r="I456">
        <v>38.869338530720498</v>
      </c>
      <c r="J456">
        <v>-98.109950895106252</v>
      </c>
    </row>
    <row r="457" spans="1:10" x14ac:dyDescent="0.3">
      <c r="A457">
        <v>38.334969841136399</v>
      </c>
      <c r="B457">
        <v>-98.191070673113785</v>
      </c>
      <c r="C457">
        <v>38.334969841136399</v>
      </c>
      <c r="D457">
        <v>-98.073151563315804</v>
      </c>
      <c r="G457">
        <v>38.334969841136399</v>
      </c>
      <c r="H457">
        <v>-98.091361503265105</v>
      </c>
      <c r="I457">
        <v>38.334969841136399</v>
      </c>
      <c r="J457">
        <v>-98.112538980248601</v>
      </c>
    </row>
    <row r="458" spans="1:10" x14ac:dyDescent="0.3">
      <c r="A458">
        <v>37.807947556384498</v>
      </c>
      <c r="B458">
        <v>-98.129968599741503</v>
      </c>
      <c r="C458">
        <v>37.807947556384498</v>
      </c>
      <c r="D458">
        <v>-98.011014698492801</v>
      </c>
      <c r="G458">
        <v>37.807947556384498</v>
      </c>
      <c r="H458">
        <v>-98.070354605185301</v>
      </c>
      <c r="I458">
        <v>37.807947556384498</v>
      </c>
      <c r="J458">
        <v>-98.099782875274599</v>
      </c>
    </row>
    <row r="459" spans="1:10" x14ac:dyDescent="0.3">
      <c r="A459">
        <v>37.288170679409795</v>
      </c>
      <c r="B459">
        <v>-98.181043026782007</v>
      </c>
      <c r="C459">
        <v>37.288170679409795</v>
      </c>
      <c r="D459">
        <v>-98.078281511816812</v>
      </c>
      <c r="G459">
        <v>37.288170679409795</v>
      </c>
      <c r="H459">
        <v>-98.102305425365202</v>
      </c>
      <c r="I459">
        <v>37.288170679409795</v>
      </c>
      <c r="J459">
        <v>-98.101378734996615</v>
      </c>
    </row>
    <row r="460" spans="1:10" x14ac:dyDescent="0.3">
      <c r="A460">
        <v>36.775539601646599</v>
      </c>
      <c r="B460">
        <v>-97.961131888464706</v>
      </c>
      <c r="C460">
        <v>36.775539601646599</v>
      </c>
      <c r="D460">
        <v>-97.91242133075778</v>
      </c>
      <c r="G460">
        <v>36.775539601646599</v>
      </c>
      <c r="H460">
        <v>-98.168017712641415</v>
      </c>
      <c r="I460">
        <v>36.775539601646599</v>
      </c>
      <c r="J460">
        <v>-98.172317333483903</v>
      </c>
    </row>
    <row r="461" spans="1:10" x14ac:dyDescent="0.3">
      <c r="A461">
        <v>36.269956083929998</v>
      </c>
      <c r="B461">
        <v>-98.149452309995496</v>
      </c>
      <c r="C461">
        <v>36.269956083929998</v>
      </c>
      <c r="D461">
        <v>-97.956964549825102</v>
      </c>
      <c r="G461">
        <v>36.269956083929998</v>
      </c>
      <c r="H461">
        <v>-98.053717167007278</v>
      </c>
      <c r="I461">
        <v>36.269956083929998</v>
      </c>
      <c r="J461">
        <v>-98.049687726421197</v>
      </c>
    </row>
    <row r="462" spans="1:10" x14ac:dyDescent="0.3">
      <c r="A462">
        <v>35.7713232376693</v>
      </c>
      <c r="B462">
        <v>-98.194455246411593</v>
      </c>
      <c r="C462">
        <v>35.7713232376693</v>
      </c>
      <c r="D462">
        <v>-98.006500517422211</v>
      </c>
      <c r="G462">
        <v>35.7713232376693</v>
      </c>
      <c r="H462">
        <v>-98.03984646368761</v>
      </c>
      <c r="I462">
        <v>35.7713232376693</v>
      </c>
      <c r="J462">
        <v>-98.013912823918574</v>
      </c>
    </row>
    <row r="463" spans="1:10" x14ac:dyDescent="0.3">
      <c r="A463">
        <v>35.279545506281003</v>
      </c>
      <c r="B463">
        <v>-98.130835035047198</v>
      </c>
      <c r="C463">
        <v>35.279545506281003</v>
      </c>
      <c r="D463">
        <v>-97.99480803065218</v>
      </c>
      <c r="G463">
        <v>35.279545506281003</v>
      </c>
      <c r="H463">
        <v>-98.017022338408083</v>
      </c>
      <c r="I463">
        <v>35.279545506281003</v>
      </c>
      <c r="J463">
        <v>-98.039946443524883</v>
      </c>
    </row>
    <row r="464" spans="1:10" x14ac:dyDescent="0.3">
      <c r="A464">
        <v>34.794528646876103</v>
      </c>
      <c r="B464">
        <v>-98.207462745068881</v>
      </c>
      <c r="C464">
        <v>34.794528646876103</v>
      </c>
      <c r="D464">
        <v>-98.021084277119002</v>
      </c>
      <c r="G464">
        <v>34.794528646876103</v>
      </c>
      <c r="H464">
        <v>-97.968606649820615</v>
      </c>
      <c r="I464">
        <v>34.794528646876103</v>
      </c>
      <c r="J464">
        <v>-98.015165400849199</v>
      </c>
    </row>
    <row r="465" spans="1:10" x14ac:dyDescent="0.3">
      <c r="A465">
        <v>34.316179712200196</v>
      </c>
      <c r="B465">
        <v>-98.016819470233997</v>
      </c>
      <c r="C465">
        <v>34.316179712200196</v>
      </c>
      <c r="D465">
        <v>-97.878271711836902</v>
      </c>
      <c r="G465">
        <v>34.316179712200196</v>
      </c>
      <c r="H465">
        <v>-97.908188386402799</v>
      </c>
      <c r="I465">
        <v>34.316179712200196</v>
      </c>
      <c r="J465">
        <v>-97.925831520504602</v>
      </c>
    </row>
    <row r="466" spans="1:10" x14ac:dyDescent="0.3">
      <c r="A466">
        <v>33.844407032820797</v>
      </c>
      <c r="B466">
        <v>-98.162570101068397</v>
      </c>
      <c r="C466">
        <v>33.844407032820797</v>
      </c>
      <c r="D466">
        <v>-98.041170923104303</v>
      </c>
      <c r="G466">
        <v>33.844407032820797</v>
      </c>
      <c r="H466">
        <v>-98.098175250226205</v>
      </c>
      <c r="I466">
        <v>33.844407032820797</v>
      </c>
      <c r="J466">
        <v>-98.116428494160999</v>
      </c>
    </row>
    <row r="467" spans="1:10" x14ac:dyDescent="0.3">
      <c r="A467">
        <v>33.379120199560603</v>
      </c>
      <c r="B467">
        <v>-98.133278603922591</v>
      </c>
      <c r="C467">
        <v>33.379120199560603</v>
      </c>
      <c r="D467">
        <v>-98.017823609504191</v>
      </c>
      <c r="G467">
        <v>33.379120199560603</v>
      </c>
      <c r="H467">
        <v>-98.118268106769406</v>
      </c>
      <c r="I467">
        <v>33.379120199560603</v>
      </c>
      <c r="J467">
        <v>-98.170370989016476</v>
      </c>
    </row>
    <row r="468" spans="1:10" x14ac:dyDescent="0.3">
      <c r="A468">
        <v>32.920230046171099</v>
      </c>
      <c r="B468">
        <v>-98.069070434924797</v>
      </c>
      <c r="C468">
        <v>32.920230046171099</v>
      </c>
      <c r="D468">
        <v>-97.911972904849279</v>
      </c>
      <c r="G468">
        <v>32.920230046171099</v>
      </c>
      <c r="H468">
        <v>-98.005861977655499</v>
      </c>
      <c r="I468">
        <v>32.920230046171099</v>
      </c>
      <c r="J468">
        <v>-98.040717467575405</v>
      </c>
    </row>
    <row r="469" spans="1:10" x14ac:dyDescent="0.3">
      <c r="A469">
        <v>32.467648632245599</v>
      </c>
      <c r="B469">
        <v>-98.063878873630998</v>
      </c>
      <c r="C469">
        <v>32.467648632245599</v>
      </c>
      <c r="D469">
        <v>-98.041956438018403</v>
      </c>
      <c r="G469">
        <v>32.467648632245599</v>
      </c>
      <c r="H469">
        <v>-97.816106011169992</v>
      </c>
      <c r="I469">
        <v>32.467648632245599</v>
      </c>
      <c r="J469">
        <v>-97.875109780015208</v>
      </c>
    </row>
    <row r="470" spans="1:10" x14ac:dyDescent="0.3">
      <c r="A470">
        <v>32.021289226366399</v>
      </c>
      <c r="B470">
        <v>-98.070383319105289</v>
      </c>
      <c r="C470">
        <v>32.021289226366399</v>
      </c>
      <c r="D470">
        <v>-98.022169387025286</v>
      </c>
      <c r="G470">
        <v>32.021289226366399</v>
      </c>
      <c r="H470">
        <v>-98.0652276105276</v>
      </c>
      <c r="I470">
        <v>32.021289226366399</v>
      </c>
      <c r="J470">
        <v>-98.064838777838304</v>
      </c>
    </row>
    <row r="471" spans="1:10" x14ac:dyDescent="0.3">
      <c r="A471">
        <v>31.581066289483598</v>
      </c>
      <c r="B471">
        <v>-97.91942340055661</v>
      </c>
      <c r="C471">
        <v>31.581066289483598</v>
      </c>
      <c r="D471">
        <v>-97.739537136567051</v>
      </c>
      <c r="G471">
        <v>31.581066289483598</v>
      </c>
      <c r="H471">
        <v>-97.935076698746101</v>
      </c>
      <c r="I471">
        <v>31.581066289483598</v>
      </c>
      <c r="J471">
        <v>-97.948971045488491</v>
      </c>
    </row>
    <row r="472" spans="1:10" x14ac:dyDescent="0.3">
      <c r="A472">
        <v>31.146895458522696</v>
      </c>
      <c r="B472">
        <v>-98.017361491108801</v>
      </c>
      <c r="C472">
        <v>31.146895458522696</v>
      </c>
      <c r="D472">
        <v>-97.792309752888301</v>
      </c>
      <c r="G472">
        <v>31.146895458522696</v>
      </c>
      <c r="H472">
        <v>-98.039672689771024</v>
      </c>
      <c r="I472">
        <v>31.146895458522696</v>
      </c>
      <c r="J472">
        <v>-98.045861740228716</v>
      </c>
    </row>
    <row r="473" spans="1:10" x14ac:dyDescent="0.3">
      <c r="A473">
        <v>30.718693530217998</v>
      </c>
      <c r="B473">
        <v>-97.974327137578598</v>
      </c>
      <c r="C473">
        <v>30.718693530217998</v>
      </c>
      <c r="D473">
        <v>-97.882514649131011</v>
      </c>
      <c r="G473">
        <v>30.718693530217998</v>
      </c>
      <c r="H473">
        <v>-98.095954845902995</v>
      </c>
      <c r="I473">
        <v>30.718693530217998</v>
      </c>
      <c r="J473">
        <v>-98.0865566509068</v>
      </c>
    </row>
    <row r="474" spans="1:10" x14ac:dyDescent="0.3">
      <c r="A474">
        <v>30.296378445167001</v>
      </c>
      <c r="B474">
        <v>-98.170397959380793</v>
      </c>
      <c r="C474">
        <v>30.296378445167001</v>
      </c>
      <c r="D474">
        <v>-98.024451945357598</v>
      </c>
      <c r="G474">
        <v>30.296378445167001</v>
      </c>
      <c r="H474">
        <v>-98.184782372978077</v>
      </c>
      <c r="I474">
        <v>30.296378445167001</v>
      </c>
      <c r="J474">
        <v>-98.123727733699482</v>
      </c>
    </row>
    <row r="475" spans="1:10" x14ac:dyDescent="0.3">
      <c r="A475">
        <v>29.879869272105203</v>
      </c>
      <c r="B475">
        <v>-98.163206888839397</v>
      </c>
      <c r="C475">
        <v>29.879869272105203</v>
      </c>
      <c r="D475">
        <v>-98.030267977955504</v>
      </c>
      <c r="G475">
        <v>29.879869272105203</v>
      </c>
      <c r="H475">
        <v>-98.094770846779397</v>
      </c>
      <c r="I475">
        <v>29.879869272105203</v>
      </c>
      <c r="J475">
        <v>-98.058333313935677</v>
      </c>
    </row>
    <row r="476" spans="1:10" x14ac:dyDescent="0.3">
      <c r="A476">
        <v>29.469086192396691</v>
      </c>
      <c r="B476">
        <v>-98.230506526784083</v>
      </c>
      <c r="C476">
        <v>29.469086192396691</v>
      </c>
      <c r="D476">
        <v>-97.985037590100404</v>
      </c>
      <c r="G476">
        <v>29.469086192396691</v>
      </c>
      <c r="H476">
        <v>-98.083650617525407</v>
      </c>
      <c r="I476">
        <v>29.469086192396691</v>
      </c>
      <c r="J476">
        <v>-98.144944756174482</v>
      </c>
    </row>
    <row r="477" spans="1:10" x14ac:dyDescent="0.3">
      <c r="A477">
        <v>29.063950484738001</v>
      </c>
      <c r="B477">
        <v>-98.038725159181595</v>
      </c>
      <c r="C477">
        <v>29.063950484738001</v>
      </c>
      <c r="D477">
        <v>-97.888382298422215</v>
      </c>
      <c r="G477">
        <v>29.063950484738001</v>
      </c>
      <c r="H477">
        <v>-98.08455082612339</v>
      </c>
      <c r="I477">
        <v>29.063950484738001</v>
      </c>
      <c r="J477">
        <v>-98.080676820474594</v>
      </c>
    </row>
    <row r="478" spans="1:10" x14ac:dyDescent="0.3">
      <c r="A478">
        <v>28.664384510071493</v>
      </c>
      <c r="B478">
        <v>-98.112474223362284</v>
      </c>
      <c r="C478">
        <v>28.664384510071493</v>
      </c>
      <c r="D478">
        <v>-98.047608739576901</v>
      </c>
      <c r="G478">
        <v>28.664384510071493</v>
      </c>
      <c r="H478">
        <v>-98.063201573328485</v>
      </c>
      <c r="I478">
        <v>28.664384510071493</v>
      </c>
      <c r="J478">
        <v>-98.120462326563398</v>
      </c>
    </row>
    <row r="479" spans="1:10" x14ac:dyDescent="0.3">
      <c r="A479">
        <v>28.270311696707896</v>
      </c>
      <c r="B479">
        <v>-98.130756681581204</v>
      </c>
      <c r="C479">
        <v>28.270311696707896</v>
      </c>
      <c r="D479">
        <v>-97.993921599951392</v>
      </c>
      <c r="G479">
        <v>28.270311696707896</v>
      </c>
      <c r="H479">
        <v>-97.969936209651593</v>
      </c>
      <c r="I479">
        <v>28.270311696707896</v>
      </c>
      <c r="J479">
        <v>-97.973819899437814</v>
      </c>
    </row>
    <row r="480" spans="1:10" x14ac:dyDescent="0.3">
      <c r="A480">
        <v>27.8816565256516</v>
      </c>
      <c r="B480">
        <v>-98.041162416171389</v>
      </c>
      <c r="C480">
        <v>27.8816565256516</v>
      </c>
      <c r="D480">
        <v>-97.891466347062206</v>
      </c>
      <c r="G480">
        <v>27.8816565256516</v>
      </c>
      <c r="H480">
        <v>-98.075072990014903</v>
      </c>
      <c r="I480">
        <v>27.8816565256516</v>
      </c>
      <c r="J480">
        <v>-98.0721823794361</v>
      </c>
    </row>
    <row r="481" spans="1:10" x14ac:dyDescent="0.3">
      <c r="A481">
        <v>27.498344516128402</v>
      </c>
      <c r="B481">
        <v>-98.108291817368979</v>
      </c>
      <c r="C481">
        <v>27.498344516128402</v>
      </c>
      <c r="D481">
        <v>-97.936353937770306</v>
      </c>
      <c r="G481">
        <v>27.498344516128402</v>
      </c>
      <c r="H481">
        <v>-98.032770015040796</v>
      </c>
      <c r="I481">
        <v>27.498344516128402</v>
      </c>
      <c r="J481">
        <v>-98.020761878126081</v>
      </c>
    </row>
    <row r="482" spans="1:10" x14ac:dyDescent="0.3">
      <c r="A482">
        <v>27.120302211312701</v>
      </c>
      <c r="B482">
        <v>-98.109427519356004</v>
      </c>
      <c r="C482">
        <v>27.120302211312701</v>
      </c>
      <c r="D482">
        <v>-98.042344084256882</v>
      </c>
      <c r="G482">
        <v>27.120302211312701</v>
      </c>
      <c r="H482">
        <v>-98.076093306740717</v>
      </c>
      <c r="I482">
        <v>27.120302211312701</v>
      </c>
      <c r="J482">
        <v>-98.04535632976048</v>
      </c>
    </row>
    <row r="483" spans="1:10" x14ac:dyDescent="0.3">
      <c r="A483">
        <v>26.747457164250001</v>
      </c>
      <c r="B483">
        <v>-98.172109063367699</v>
      </c>
      <c r="C483">
        <v>26.747457164250001</v>
      </c>
      <c r="D483">
        <v>-98.076973454478207</v>
      </c>
      <c r="G483">
        <v>26.747457164250001</v>
      </c>
      <c r="H483">
        <v>-98.079414871175103</v>
      </c>
      <c r="I483">
        <v>26.747457164250001</v>
      </c>
      <c r="J483">
        <v>-98.084435785699853</v>
      </c>
    </row>
    <row r="484" spans="1:10" x14ac:dyDescent="0.3">
      <c r="A484">
        <v>26.379737923973401</v>
      </c>
      <c r="B484">
        <v>-98.120115415791105</v>
      </c>
      <c r="C484">
        <v>26.379737923973401</v>
      </c>
      <c r="D484">
        <v>-97.954735509561914</v>
      </c>
      <c r="G484">
        <v>26.379737923973401</v>
      </c>
      <c r="H484">
        <v>-98.089229134973408</v>
      </c>
      <c r="I484">
        <v>26.379737923973401</v>
      </c>
      <c r="J484">
        <v>-98.049581663940884</v>
      </c>
    </row>
    <row r="485" spans="1:10" x14ac:dyDescent="0.3">
      <c r="A485">
        <v>26.0170740218114</v>
      </c>
      <c r="B485">
        <v>-97.928481699164479</v>
      </c>
      <c r="C485">
        <v>26.0170740218114</v>
      </c>
      <c r="D485">
        <v>-97.894679498672502</v>
      </c>
      <c r="G485">
        <v>26.0170740218114</v>
      </c>
      <c r="H485">
        <v>-98.050694745169082</v>
      </c>
      <c r="I485">
        <v>26.0170740218114</v>
      </c>
      <c r="J485">
        <v>-98.045334951685504</v>
      </c>
    </row>
    <row r="486" spans="1:10" x14ac:dyDescent="0.3">
      <c r="A486">
        <v>25.659395957883003</v>
      </c>
      <c r="B486">
        <v>-98.080531700305201</v>
      </c>
      <c r="C486">
        <v>25.659395957883003</v>
      </c>
      <c r="D486">
        <v>-98.001162930966572</v>
      </c>
      <c r="G486">
        <v>25.659395957883003</v>
      </c>
      <c r="H486">
        <v>-97.928051757437416</v>
      </c>
      <c r="I486">
        <v>25.659395957883003</v>
      </c>
      <c r="J486">
        <v>-97.991387465360404</v>
      </c>
    </row>
    <row r="487" spans="1:10" x14ac:dyDescent="0.3">
      <c r="A487">
        <v>25.306635187778905</v>
      </c>
      <c r="B487">
        <v>-98.150570512394481</v>
      </c>
      <c r="C487">
        <v>25.306635187778905</v>
      </c>
      <c r="D487">
        <v>-97.977612537118588</v>
      </c>
      <c r="G487">
        <v>25.306635187778905</v>
      </c>
      <c r="H487">
        <v>-98.076944440188669</v>
      </c>
      <c r="I487">
        <v>25.306635187778905</v>
      </c>
      <c r="J487">
        <v>-98.099133515411069</v>
      </c>
    </row>
    <row r="488" spans="1:10" x14ac:dyDescent="0.3">
      <c r="A488">
        <v>24.958724109426203</v>
      </c>
      <c r="B488">
        <v>-98.046395478273084</v>
      </c>
      <c r="C488">
        <v>24.958724109426203</v>
      </c>
      <c r="D488">
        <v>-98.018069434329604</v>
      </c>
      <c r="G488">
        <v>24.958724109426203</v>
      </c>
      <c r="H488">
        <v>-97.971969469197774</v>
      </c>
      <c r="I488">
        <v>24.958724109426203</v>
      </c>
      <c r="J488">
        <v>-98.000373994117197</v>
      </c>
    </row>
    <row r="489" spans="1:10" x14ac:dyDescent="0.3">
      <c r="A489">
        <v>24.615596050133291</v>
      </c>
      <c r="B489">
        <v>-98.105898394713904</v>
      </c>
      <c r="C489">
        <v>24.615596050133291</v>
      </c>
      <c r="D489">
        <v>-98.0031710126825</v>
      </c>
      <c r="G489">
        <v>24.615596050133291</v>
      </c>
      <c r="H489">
        <v>-98.078555500082402</v>
      </c>
      <c r="I489">
        <v>24.615596050133291</v>
      </c>
      <c r="J489">
        <v>-98.081451235873516</v>
      </c>
    </row>
    <row r="490" spans="1:10" x14ac:dyDescent="0.3">
      <c r="A490">
        <v>24.277185253812601</v>
      </c>
      <c r="B490">
        <v>-97.992534684860487</v>
      </c>
      <c r="C490">
        <v>24.277185253812601</v>
      </c>
      <c r="D490">
        <v>-97.881826808218477</v>
      </c>
      <c r="G490">
        <v>24.277185253812601</v>
      </c>
      <c r="H490">
        <v>-98.069088967440393</v>
      </c>
      <c r="I490">
        <v>24.277185253812601</v>
      </c>
      <c r="J490">
        <v>-98.108631239807679</v>
      </c>
    </row>
    <row r="491" spans="1:10" x14ac:dyDescent="0.3">
      <c r="A491">
        <v>23.943426868379397</v>
      </c>
      <c r="B491">
        <v>-98.152578795394206</v>
      </c>
      <c r="C491">
        <v>23.943426868379397</v>
      </c>
      <c r="D491">
        <v>-98.076221770370253</v>
      </c>
      <c r="G491">
        <v>23.943426868379397</v>
      </c>
      <c r="H491">
        <v>-98.017795107190196</v>
      </c>
      <c r="I491">
        <v>23.943426868379397</v>
      </c>
      <c r="J491">
        <v>-97.924588006908806</v>
      </c>
    </row>
    <row r="492" spans="1:10" x14ac:dyDescent="0.3">
      <c r="A492">
        <v>23.614256933323801</v>
      </c>
      <c r="B492">
        <v>-98.172661582929678</v>
      </c>
      <c r="C492">
        <v>23.614256933323801</v>
      </c>
      <c r="D492">
        <v>-98.016106420427107</v>
      </c>
      <c r="G492">
        <v>23.614256933323801</v>
      </c>
      <c r="H492">
        <v>-98.028794078659502</v>
      </c>
      <c r="I492">
        <v>23.614256933323801</v>
      </c>
      <c r="J492">
        <v>-98.127365087571903</v>
      </c>
    </row>
    <row r="493" spans="1:10" x14ac:dyDescent="0.3">
      <c r="A493">
        <v>23.289612367453692</v>
      </c>
      <c r="B493">
        <v>-97.893843652227389</v>
      </c>
      <c r="C493">
        <v>23.289612367453692</v>
      </c>
      <c r="D493">
        <v>-97.833176331853906</v>
      </c>
      <c r="G493">
        <v>23.289612367453692</v>
      </c>
      <c r="H493">
        <v>-98.080313205201605</v>
      </c>
      <c r="I493">
        <v>23.289612367453692</v>
      </c>
      <c r="J493">
        <v>-98.119418148626409</v>
      </c>
    </row>
    <row r="494" spans="1:10" x14ac:dyDescent="0.3">
      <c r="A494">
        <v>22.969430956805798</v>
      </c>
      <c r="B494">
        <v>-98.135033002559808</v>
      </c>
      <c r="C494">
        <v>22.969430956805798</v>
      </c>
      <c r="D494">
        <v>-98.062568942248603</v>
      </c>
      <c r="G494">
        <v>22.969430956805798</v>
      </c>
      <c r="H494">
        <v>-98.030581876802003</v>
      </c>
      <c r="I494">
        <v>22.969430956805798</v>
      </c>
      <c r="J494">
        <v>-98.086064267757408</v>
      </c>
    </row>
    <row r="495" spans="1:10" x14ac:dyDescent="0.3">
      <c r="A495">
        <v>22.653651342723101</v>
      </c>
      <c r="B495">
        <v>-98.000570707118214</v>
      </c>
      <c r="C495">
        <v>22.653651342723101</v>
      </c>
      <c r="D495">
        <v>-97.89951247987689</v>
      </c>
      <c r="G495">
        <v>22.653651342723101</v>
      </c>
      <c r="H495">
        <v>-98.166581900493199</v>
      </c>
      <c r="I495">
        <v>22.653651342723101</v>
      </c>
      <c r="J495">
        <v>-98.133838540720191</v>
      </c>
    </row>
    <row r="496" spans="1:10" x14ac:dyDescent="0.3">
      <c r="A496">
        <v>22.342213010096501</v>
      </c>
      <c r="B496">
        <v>-98.136284262974797</v>
      </c>
      <c r="C496">
        <v>22.342213010096501</v>
      </c>
      <c r="D496">
        <v>-97.9849639359158</v>
      </c>
      <c r="G496">
        <v>22.342213010096501</v>
      </c>
      <c r="H496">
        <v>-98.034474107784803</v>
      </c>
      <c r="I496">
        <v>22.342213010096501</v>
      </c>
      <c r="J496">
        <v>-98.105467537568501</v>
      </c>
    </row>
    <row r="497" spans="1:10" x14ac:dyDescent="0.3">
      <c r="A497">
        <v>22.035056275767698</v>
      </c>
      <c r="B497">
        <v>-98.173784276232468</v>
      </c>
      <c r="C497">
        <v>22.035056275767698</v>
      </c>
      <c r="D497">
        <v>-98.021355949803677</v>
      </c>
      <c r="G497">
        <v>22.035056275767698</v>
      </c>
      <c r="H497">
        <v>-97.936112456032504</v>
      </c>
      <c r="I497">
        <v>22.035056275767698</v>
      </c>
      <c r="J497">
        <v>-97.979646442156394</v>
      </c>
    </row>
    <row r="498" spans="1:10" x14ac:dyDescent="0.3">
      <c r="A498">
        <v>21.732122277092</v>
      </c>
      <c r="B498">
        <v>-98.120919532857599</v>
      </c>
      <c r="C498">
        <v>21.732122277092</v>
      </c>
      <c r="D498">
        <v>-98.015745448532627</v>
      </c>
      <c r="G498">
        <v>21.732122277092</v>
      </c>
      <c r="H498">
        <v>-98.144404881064006</v>
      </c>
      <c r="I498">
        <v>21.732122277092</v>
      </c>
      <c r="J498">
        <v>-98.105365401153279</v>
      </c>
    </row>
    <row r="499" spans="1:10" x14ac:dyDescent="0.3">
      <c r="A499">
        <v>21.433352960657292</v>
      </c>
      <c r="B499">
        <v>-98.177930428869004</v>
      </c>
      <c r="C499">
        <v>21.433352960657292</v>
      </c>
      <c r="D499">
        <v>-97.976442867497596</v>
      </c>
      <c r="G499">
        <v>21.433352960657292</v>
      </c>
      <c r="H499">
        <v>-98.021342754370806</v>
      </c>
      <c r="I499">
        <v>21.433352960657292</v>
      </c>
      <c r="J499">
        <v>-97.974114307629591</v>
      </c>
    </row>
    <row r="500" spans="1:10" x14ac:dyDescent="0.3">
      <c r="A500">
        <v>21.138691071159801</v>
      </c>
      <c r="B500">
        <v>-98.137485716809792</v>
      </c>
      <c r="C500">
        <v>21.138691071159801</v>
      </c>
      <c r="D500">
        <v>-97.990391399972282</v>
      </c>
      <c r="G500">
        <v>21.138691071159801</v>
      </c>
      <c r="H500">
        <v>-98.101935254655686</v>
      </c>
      <c r="I500">
        <v>21.138691071159801</v>
      </c>
      <c r="J500">
        <v>-98.130260808811514</v>
      </c>
    </row>
    <row r="501" spans="1:10" x14ac:dyDescent="0.3">
      <c r="A501">
        <v>20.848080140431101</v>
      </c>
      <c r="B501">
        <v>-98.135840749491194</v>
      </c>
      <c r="C501">
        <v>20.848080140431101</v>
      </c>
      <c r="D501">
        <v>-98.013528812273407</v>
      </c>
      <c r="G501">
        <v>20.848080140431101</v>
      </c>
      <c r="H501">
        <v>-97.931222948038084</v>
      </c>
      <c r="I501">
        <v>20.848080140431101</v>
      </c>
      <c r="J501">
        <v>-97.9672258437907</v>
      </c>
    </row>
    <row r="502" spans="1:10" x14ac:dyDescent="0.3">
      <c r="A502">
        <v>20.561464476617292</v>
      </c>
      <c r="B502">
        <v>-98.080208484970399</v>
      </c>
      <c r="C502">
        <v>20.561464476617292</v>
      </c>
      <c r="D502">
        <v>-97.890241656347285</v>
      </c>
      <c r="G502">
        <v>20.561464476617292</v>
      </c>
      <c r="H502">
        <v>-98.069516807185209</v>
      </c>
      <c r="I502">
        <v>20.561464476617292</v>
      </c>
      <c r="J502">
        <v>-98.075157508819373</v>
      </c>
    </row>
    <row r="503" spans="1:10" x14ac:dyDescent="0.3">
      <c r="A503">
        <v>20.278789153505798</v>
      </c>
      <c r="B503">
        <v>-97.865249225401428</v>
      </c>
      <c r="C503">
        <v>20.278789153505798</v>
      </c>
      <c r="D503">
        <v>-97.844548695214101</v>
      </c>
      <c r="G503">
        <v>20.278789153505798</v>
      </c>
      <c r="H503">
        <v>-98.054732898435205</v>
      </c>
      <c r="I503">
        <v>20.278789153505798</v>
      </c>
      <c r="J503">
        <v>-98.05418794529561</v>
      </c>
    </row>
    <row r="504" spans="1:10" x14ac:dyDescent="0.3">
      <c r="A504">
        <v>20</v>
      </c>
      <c r="B504">
        <v>-98.139767044918301</v>
      </c>
      <c r="C504">
        <v>20</v>
      </c>
      <c r="D504">
        <v>-98.0425607763909</v>
      </c>
      <c r="G504">
        <v>20</v>
      </c>
      <c r="H504">
        <v>-98.002594152414403</v>
      </c>
      <c r="I504">
        <v>20</v>
      </c>
      <c r="J504">
        <v>-98.044885837081281</v>
      </c>
    </row>
    <row r="506" spans="1:10" x14ac:dyDescent="0.3">
      <c r="A506" t="s">
        <v>80</v>
      </c>
      <c r="G506" t="s">
        <v>80</v>
      </c>
    </row>
    <row r="507" spans="1:10" x14ac:dyDescent="0.3">
      <c r="A507" t="s">
        <v>37</v>
      </c>
      <c r="B507" t="s">
        <v>38</v>
      </c>
      <c r="C507" t="s">
        <v>39</v>
      </c>
      <c r="G507" t="s">
        <v>37</v>
      </c>
      <c r="H507" t="s">
        <v>38</v>
      </c>
      <c r="I507" t="s">
        <v>39</v>
      </c>
    </row>
    <row r="508" spans="1:10" x14ac:dyDescent="0.3">
      <c r="A508" t="s">
        <v>23</v>
      </c>
      <c r="B508" t="s">
        <v>40</v>
      </c>
      <c r="C508" t="s">
        <v>40</v>
      </c>
      <c r="G508" t="s">
        <v>23</v>
      </c>
      <c r="H508" t="s">
        <v>40</v>
      </c>
      <c r="I508" t="s">
        <v>40</v>
      </c>
    </row>
    <row r="509" spans="1:10" x14ac:dyDescent="0.3">
      <c r="A509" t="s">
        <v>24</v>
      </c>
      <c r="B509" t="s">
        <v>40</v>
      </c>
      <c r="C509" t="s">
        <v>40</v>
      </c>
      <c r="G509" t="s">
        <v>24</v>
      </c>
      <c r="H509" t="s">
        <v>40</v>
      </c>
      <c r="I509" t="s">
        <v>40</v>
      </c>
    </row>
  </sheetData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S31"/>
  <sheetViews>
    <sheetView topLeftCell="B1" workbookViewId="0">
      <selection activeCell="L6" sqref="L6"/>
    </sheetView>
  </sheetViews>
  <sheetFormatPr baseColWidth="10" defaultColWidth="8.88671875" defaultRowHeight="14.4" x14ac:dyDescent="0.3"/>
  <cols>
    <col min="5" max="5" width="12.5546875" customWidth="1"/>
    <col min="16" max="16" width="10.109375" customWidth="1"/>
  </cols>
  <sheetData>
    <row r="3" spans="3:19" x14ac:dyDescent="0.3">
      <c r="E3" s="55">
        <v>45456</v>
      </c>
      <c r="G3" t="s">
        <v>81</v>
      </c>
    </row>
    <row r="5" spans="3:19" x14ac:dyDescent="0.3">
      <c r="C5" t="s">
        <v>82</v>
      </c>
    </row>
    <row r="6" spans="3:19" x14ac:dyDescent="0.3">
      <c r="E6" t="s">
        <v>43</v>
      </c>
      <c r="F6" t="s">
        <v>44</v>
      </c>
      <c r="G6" t="s">
        <v>45</v>
      </c>
      <c r="H6" t="s">
        <v>46</v>
      </c>
      <c r="I6" t="s">
        <v>47</v>
      </c>
      <c r="L6" t="s">
        <v>83</v>
      </c>
      <c r="M6" t="s">
        <v>43</v>
      </c>
      <c r="N6" t="s">
        <v>44</v>
      </c>
      <c r="O6" t="s">
        <v>45</v>
      </c>
      <c r="P6" t="s">
        <v>46</v>
      </c>
      <c r="Q6" t="s">
        <v>47</v>
      </c>
      <c r="S6" t="s">
        <v>8</v>
      </c>
    </row>
    <row r="7" spans="3:19" x14ac:dyDescent="0.3">
      <c r="D7">
        <v>62.5</v>
      </c>
      <c r="E7">
        <v>16.803000000000001</v>
      </c>
      <c r="F7">
        <v>-133.54599999999999</v>
      </c>
      <c r="G7">
        <v>-140.44300000000001</v>
      </c>
      <c r="H7">
        <v>-139.50399999999999</v>
      </c>
      <c r="I7">
        <v>-145.23599999999999</v>
      </c>
      <c r="M7">
        <f t="shared" ref="M7:M16" si="0">10^(E7/20)</f>
        <v>6.9206996214095922</v>
      </c>
      <c r="N7" s="52">
        <f t="shared" ref="N7:N16" si="1">10^(F7/20)</f>
        <v>2.1023257029194592E-7</v>
      </c>
      <c r="O7" s="52">
        <f t="shared" ref="O7:O16" si="2">10^(G7/20)</f>
        <v>9.5027652308578103E-8</v>
      </c>
      <c r="P7" s="52">
        <f t="shared" ref="P7:P16" si="3">10^(H7/20)</f>
        <v>1.0587660331136959E-7</v>
      </c>
      <c r="Q7" s="52">
        <f t="shared" ref="Q7:Q16" si="4">10^(I7/20)</f>
        <v>5.4726793106769292E-8</v>
      </c>
      <c r="R7" s="52">
        <f t="shared" ref="R7:R16" si="5">SQRT(SUMSQ(N7:Q7))/M7</f>
        <v>3.7521985126023714E-8</v>
      </c>
      <c r="S7" s="61">
        <f t="shared" ref="S7:S16" si="6">20*LOG10(R7)</f>
        <v>-148.51428386083185</v>
      </c>
    </row>
    <row r="8" spans="3:19" x14ac:dyDescent="0.3">
      <c r="D8">
        <v>125</v>
      </c>
      <c r="E8">
        <v>16.838999999999995</v>
      </c>
      <c r="F8">
        <v>-128.13999999999999</v>
      </c>
      <c r="G8">
        <v>-137.56</v>
      </c>
      <c r="H8">
        <v>-144.56200000000001</v>
      </c>
      <c r="I8">
        <v>-146.643</v>
      </c>
      <c r="M8">
        <f t="shared" si="0"/>
        <v>6.9494430456315746</v>
      </c>
      <c r="N8" s="52">
        <f t="shared" si="1"/>
        <v>3.9174187710778358E-7</v>
      </c>
      <c r="O8" s="52">
        <f t="shared" si="2"/>
        <v>1.3243415351946617E-7</v>
      </c>
      <c r="P8" s="52">
        <f t="shared" si="3"/>
        <v>5.9142543775622252E-8</v>
      </c>
      <c r="Q8" s="52">
        <f t="shared" si="4"/>
        <v>4.6542531355050557E-8</v>
      </c>
      <c r="R8" s="52">
        <f t="shared" si="5"/>
        <v>6.0481799897194289E-8</v>
      </c>
      <c r="S8" s="61">
        <f t="shared" si="6"/>
        <v>-144.36750586012769</v>
      </c>
    </row>
    <row r="9" spans="3:19" x14ac:dyDescent="0.3">
      <c r="D9">
        <v>625</v>
      </c>
      <c r="E9">
        <v>16.827000000000002</v>
      </c>
      <c r="F9">
        <v>-121.71100000000001</v>
      </c>
      <c r="G9">
        <v>-128.55199999999999</v>
      </c>
      <c r="H9">
        <v>-136.31899999999999</v>
      </c>
      <c r="I9">
        <v>-141.018</v>
      </c>
      <c r="M9">
        <f t="shared" si="0"/>
        <v>6.9398486643445407</v>
      </c>
      <c r="N9" s="52">
        <f t="shared" si="1"/>
        <v>8.2120200301740815E-7</v>
      </c>
      <c r="O9" s="52">
        <f t="shared" si="2"/>
        <v>3.7359409225879961E-7</v>
      </c>
      <c r="P9" s="52">
        <f t="shared" si="3"/>
        <v>1.5277419359039258E-7</v>
      </c>
      <c r="Q9" s="52">
        <f t="shared" si="4"/>
        <v>8.8940588755588941E-8</v>
      </c>
      <c r="R9" s="52">
        <f t="shared" si="5"/>
        <v>1.324733834722879E-7</v>
      </c>
      <c r="S9" s="61">
        <f t="shared" si="6"/>
        <v>-137.55742742658759</v>
      </c>
    </row>
    <row r="10" spans="3:19" x14ac:dyDescent="0.3">
      <c r="D10">
        <v>1000</v>
      </c>
      <c r="E10">
        <v>16.882999999999999</v>
      </c>
      <c r="F10">
        <v>-118.21299999999999</v>
      </c>
      <c r="G10">
        <v>-125.30800000000001</v>
      </c>
      <c r="H10">
        <v>-132.495</v>
      </c>
      <c r="I10">
        <v>-137.15799999999999</v>
      </c>
      <c r="M10">
        <f t="shared" si="0"/>
        <v>6.9847360665774456</v>
      </c>
      <c r="N10" s="52">
        <f t="shared" si="1"/>
        <v>1.2284288290123458E-6</v>
      </c>
      <c r="O10" s="52">
        <f t="shared" si="2"/>
        <v>5.427502097963154E-7</v>
      </c>
      <c r="P10" s="52">
        <f t="shared" si="3"/>
        <v>2.372739171072623E-7</v>
      </c>
      <c r="Q10" s="52">
        <f t="shared" si="4"/>
        <v>1.3870751779668207E-7</v>
      </c>
      <c r="R10" s="52">
        <f t="shared" si="5"/>
        <v>1.9625971815586592E-7</v>
      </c>
      <c r="S10" s="61">
        <f t="shared" si="6"/>
        <v>-134.14337658342782</v>
      </c>
    </row>
    <row r="11" spans="3:19" x14ac:dyDescent="0.3">
      <c r="D11">
        <v>2000</v>
      </c>
      <c r="E11">
        <v>16.765000000000001</v>
      </c>
      <c r="F11">
        <v>-111.48500000000001</v>
      </c>
      <c r="G11">
        <v>-118.414</v>
      </c>
      <c r="H11">
        <v>-126.504</v>
      </c>
      <c r="I11">
        <v>-131.90600000000001</v>
      </c>
      <c r="M11">
        <f t="shared" si="0"/>
        <v>6.8904883059301225</v>
      </c>
      <c r="N11" s="52">
        <f t="shared" si="1"/>
        <v>2.6653239390418382E-6</v>
      </c>
      <c r="O11" s="52">
        <f t="shared" si="2"/>
        <v>1.2003281741626709E-6</v>
      </c>
      <c r="P11" s="52">
        <f t="shared" si="3"/>
        <v>4.7293341491865089E-7</v>
      </c>
      <c r="Q11" s="52">
        <f t="shared" si="4"/>
        <v>2.5392180698867112E-7</v>
      </c>
      <c r="R11" s="52">
        <f t="shared" si="5"/>
        <v>4.313215999945944E-7</v>
      </c>
      <c r="S11" s="61">
        <f t="shared" si="6"/>
        <v>-127.30397584874014</v>
      </c>
    </row>
    <row r="12" spans="3:19" x14ac:dyDescent="0.3">
      <c r="D12">
        <v>5000</v>
      </c>
      <c r="E12">
        <v>16.850000000000001</v>
      </c>
      <c r="F12">
        <v>-99.326999999999998</v>
      </c>
      <c r="G12">
        <v>-107.65300000000001</v>
      </c>
      <c r="H12">
        <v>-116.36499999999999</v>
      </c>
      <c r="I12">
        <v>-122.23099999999999</v>
      </c>
      <c r="M12">
        <f t="shared" si="0"/>
        <v>6.9582495470060532</v>
      </c>
      <c r="N12" s="52">
        <f t="shared" si="1"/>
        <v>1.0805627695964761E-5</v>
      </c>
      <c r="O12" s="52">
        <f t="shared" si="2"/>
        <v>4.1433345361653947E-6</v>
      </c>
      <c r="P12" s="52">
        <f t="shared" si="3"/>
        <v>1.5196724840962498E-6</v>
      </c>
      <c r="Q12" s="52">
        <f t="shared" si="4"/>
        <v>7.7348162328581668E-7</v>
      </c>
      <c r="R12" s="52">
        <f t="shared" si="5"/>
        <v>1.6811286967817043E-6</v>
      </c>
      <c r="S12" s="61">
        <f t="shared" si="6"/>
        <v>-115.48798076794235</v>
      </c>
    </row>
    <row r="13" spans="3:19" x14ac:dyDescent="0.3">
      <c r="D13">
        <v>10000</v>
      </c>
      <c r="E13">
        <v>16.707999999999998</v>
      </c>
      <c r="F13">
        <v>-87.600999999999999</v>
      </c>
      <c r="G13">
        <v>-98.040999999999997</v>
      </c>
      <c r="H13">
        <v>-107.908</v>
      </c>
      <c r="I13">
        <v>-112.39100000000001</v>
      </c>
      <c r="M13">
        <f t="shared" si="0"/>
        <v>6.8454184335848023</v>
      </c>
      <c r="N13" s="52">
        <f t="shared" si="1"/>
        <v>4.1682139237157291E-5</v>
      </c>
      <c r="O13" s="52">
        <f t="shared" si="2"/>
        <v>1.2529969100366867E-5</v>
      </c>
      <c r="P13" s="52">
        <f t="shared" si="3"/>
        <v>4.0234628899023036E-6</v>
      </c>
      <c r="Q13" s="52">
        <f t="shared" si="4"/>
        <v>2.4013197898130634E-6</v>
      </c>
      <c r="R13" s="52">
        <f t="shared" si="5"/>
        <v>6.3949629514231494E-6</v>
      </c>
      <c r="S13" s="61">
        <f t="shared" si="6"/>
        <v>-103.88323934439177</v>
      </c>
    </row>
    <row r="14" spans="3:19" x14ac:dyDescent="0.3">
      <c r="D14">
        <v>20000</v>
      </c>
      <c r="E14">
        <v>16.87</v>
      </c>
      <c r="F14">
        <v>-75.971000000000004</v>
      </c>
      <c r="G14">
        <v>-86.281999999999982</v>
      </c>
      <c r="H14">
        <v>-97.91</v>
      </c>
      <c r="I14">
        <v>-129.80600000000001</v>
      </c>
      <c r="M14">
        <f t="shared" si="0"/>
        <v>6.9742899688173408</v>
      </c>
      <c r="N14" s="52">
        <f t="shared" si="1"/>
        <v>1.5901935954798586E-4</v>
      </c>
      <c r="O14" s="52">
        <f t="shared" si="2"/>
        <v>4.851767712192576E-5</v>
      </c>
      <c r="P14" s="52">
        <f t="shared" si="3"/>
        <v>1.2720377500856885E-5</v>
      </c>
      <c r="Q14" s="52">
        <f t="shared" si="4"/>
        <v>3.2337020353739043E-7</v>
      </c>
      <c r="R14" s="52">
        <f t="shared" si="5"/>
        <v>2.3908156915308199E-5</v>
      </c>
      <c r="S14" s="61">
        <f t="shared" si="6"/>
        <v>-92.429078048879504</v>
      </c>
    </row>
    <row r="15" spans="3:19" x14ac:dyDescent="0.3">
      <c r="D15">
        <v>50000</v>
      </c>
      <c r="E15">
        <v>17.001000000000001</v>
      </c>
      <c r="F15">
        <v>-60.463999999999999</v>
      </c>
      <c r="G15">
        <v>-66.533000000000001</v>
      </c>
      <c r="H15">
        <v>-84.917000000000002</v>
      </c>
      <c r="I15">
        <v>-89.665999999999983</v>
      </c>
      <c r="M15">
        <f t="shared" si="0"/>
        <v>7.080272943466273</v>
      </c>
      <c r="N15" s="52">
        <f t="shared" si="1"/>
        <v>9.4798180101071791E-4</v>
      </c>
      <c r="O15" s="52">
        <f t="shared" si="2"/>
        <v>4.7135704226363253E-4</v>
      </c>
      <c r="P15" s="52">
        <f t="shared" si="3"/>
        <v>5.6774066222661458E-5</v>
      </c>
      <c r="Q15" s="52">
        <f t="shared" si="4"/>
        <v>3.2862454665820501E-5</v>
      </c>
      <c r="R15" s="52">
        <f t="shared" si="5"/>
        <v>1.4981498298283983E-4</v>
      </c>
      <c r="S15" s="61">
        <f t="shared" si="6"/>
        <v>-76.488895014256371</v>
      </c>
    </row>
    <row r="16" spans="3:19" x14ac:dyDescent="0.3">
      <c r="D16">
        <v>100000</v>
      </c>
      <c r="E16">
        <v>17.257999999999999</v>
      </c>
      <c r="F16">
        <v>-44.188000000000002</v>
      </c>
      <c r="G16">
        <v>-29.004999999999999</v>
      </c>
      <c r="H16">
        <v>-43.908999999999999</v>
      </c>
      <c r="I16">
        <v>-35.316000000000003</v>
      </c>
      <c r="M16">
        <f t="shared" si="0"/>
        <v>7.2928956579172333</v>
      </c>
      <c r="N16" s="52">
        <f t="shared" si="1"/>
        <v>6.1744744805068115E-3</v>
      </c>
      <c r="O16" s="52">
        <f t="shared" si="2"/>
        <v>3.5460920100409944E-2</v>
      </c>
      <c r="P16" s="52">
        <f t="shared" si="3"/>
        <v>6.3760248350812829E-3</v>
      </c>
      <c r="Q16" s="52">
        <f t="shared" si="4"/>
        <v>1.7147467957901258E-2</v>
      </c>
      <c r="R16" s="52">
        <f t="shared" si="5"/>
        <v>5.5364639645798051E-3</v>
      </c>
      <c r="S16" s="61">
        <f t="shared" si="6"/>
        <v>-45.135350449011248</v>
      </c>
    </row>
    <row r="18" spans="5:12" x14ac:dyDescent="0.3">
      <c r="F18" t="s">
        <v>84</v>
      </c>
      <c r="G18" t="s">
        <v>8</v>
      </c>
      <c r="I18" s="56"/>
      <c r="J18" s="56" t="s">
        <v>84</v>
      </c>
      <c r="K18" s="56" t="s">
        <v>8</v>
      </c>
      <c r="L18" s="56"/>
    </row>
    <row r="19" spans="5:12" x14ac:dyDescent="0.3">
      <c r="F19" s="14">
        <v>62.461537999999997</v>
      </c>
      <c r="G19" s="13">
        <v>-143.51556406492168</v>
      </c>
      <c r="I19" s="56"/>
      <c r="J19" s="56">
        <f t="shared" ref="J19:J28" si="7">D7</f>
        <v>62.5</v>
      </c>
      <c r="K19" s="62">
        <f t="shared" ref="K19:K28" si="8">S7</f>
        <v>-148.51428386083185</v>
      </c>
      <c r="L19" s="57">
        <f t="shared" ref="L19:L26" si="9">G19-K19</f>
        <v>4.9987197959101763</v>
      </c>
    </row>
    <row r="20" spans="5:12" x14ac:dyDescent="0.3">
      <c r="F20" s="12">
        <v>125.07692299999999</v>
      </c>
      <c r="G20" s="13">
        <v>-138.58460363308183</v>
      </c>
      <c r="I20" s="56"/>
      <c r="J20" s="56">
        <f t="shared" si="7"/>
        <v>125</v>
      </c>
      <c r="K20" s="62">
        <f t="shared" si="8"/>
        <v>-144.36750586012769</v>
      </c>
      <c r="L20" s="57">
        <f t="shared" si="9"/>
        <v>5.7829022270458665</v>
      </c>
    </row>
    <row r="21" spans="5:12" x14ac:dyDescent="0.3">
      <c r="F21" s="12">
        <v>625.23076900000001</v>
      </c>
      <c r="G21" s="13">
        <v>-127.84910659898627</v>
      </c>
      <c r="I21" s="56"/>
      <c r="J21" s="56">
        <f t="shared" si="7"/>
        <v>625</v>
      </c>
      <c r="K21" s="62">
        <f t="shared" si="8"/>
        <v>-137.55742742658759</v>
      </c>
      <c r="L21" s="57">
        <f t="shared" si="9"/>
        <v>9.7083208276013266</v>
      </c>
    </row>
    <row r="22" spans="5:12" x14ac:dyDescent="0.3">
      <c r="F22" s="12">
        <v>1000.153846</v>
      </c>
      <c r="G22" s="13">
        <v>-123.80052771133877</v>
      </c>
      <c r="I22" s="56"/>
      <c r="J22" s="56">
        <f t="shared" si="7"/>
        <v>1000</v>
      </c>
      <c r="K22" s="62">
        <f t="shared" si="8"/>
        <v>-134.14337658342782</v>
      </c>
      <c r="L22" s="57">
        <f t="shared" si="9"/>
        <v>10.34284887208905</v>
      </c>
    </row>
    <row r="23" spans="5:12" x14ac:dyDescent="0.3">
      <c r="E23" t="s">
        <v>11</v>
      </c>
      <c r="F23" s="12">
        <v>2000.461538</v>
      </c>
      <c r="G23" s="13">
        <v>-117.41938304755395</v>
      </c>
      <c r="I23" s="56" t="s">
        <v>64</v>
      </c>
      <c r="J23" s="56">
        <f t="shared" si="7"/>
        <v>2000</v>
      </c>
      <c r="K23" s="62">
        <f t="shared" si="8"/>
        <v>-127.30397584874014</v>
      </c>
      <c r="L23" s="57">
        <f t="shared" si="9"/>
        <v>9.8845928011861872</v>
      </c>
    </row>
    <row r="24" spans="5:12" x14ac:dyDescent="0.3">
      <c r="F24" s="12">
        <v>5000.1538460000002</v>
      </c>
      <c r="G24" s="13">
        <v>-108.54048652831018</v>
      </c>
      <c r="I24" s="56"/>
      <c r="J24" s="56">
        <f t="shared" si="7"/>
        <v>5000</v>
      </c>
      <c r="K24" s="62">
        <f t="shared" si="8"/>
        <v>-115.48798076794235</v>
      </c>
      <c r="L24" s="57">
        <f t="shared" si="9"/>
        <v>6.9474942396321637</v>
      </c>
    </row>
    <row r="25" spans="5:12" x14ac:dyDescent="0.3">
      <c r="F25" s="12">
        <v>10001.538462</v>
      </c>
      <c r="G25" s="13">
        <v>-98.971934486941294</v>
      </c>
      <c r="I25" s="56"/>
      <c r="J25" s="56">
        <f t="shared" si="7"/>
        <v>10000</v>
      </c>
      <c r="K25" s="62">
        <f t="shared" si="8"/>
        <v>-103.88323934439177</v>
      </c>
      <c r="L25" s="57">
        <f t="shared" si="9"/>
        <v>4.9113048574504745</v>
      </c>
    </row>
    <row r="26" spans="5:12" x14ac:dyDescent="0.3">
      <c r="F26" s="12">
        <v>20006</v>
      </c>
      <c r="G26" s="13">
        <v>-88.516218929776969</v>
      </c>
      <c r="I26" s="56"/>
      <c r="J26" s="56">
        <f t="shared" si="7"/>
        <v>20000</v>
      </c>
      <c r="K26" s="62">
        <f t="shared" si="8"/>
        <v>-92.429078048879504</v>
      </c>
      <c r="L26" s="57">
        <f t="shared" si="9"/>
        <v>3.912859119102535</v>
      </c>
    </row>
    <row r="27" spans="5:12" x14ac:dyDescent="0.3">
      <c r="F27" s="12">
        <v>20006</v>
      </c>
      <c r="G27" s="13">
        <v>-88.333037420985221</v>
      </c>
      <c r="I27" s="56"/>
      <c r="J27" s="56">
        <f t="shared" si="7"/>
        <v>50000</v>
      </c>
      <c r="K27" s="62">
        <f t="shared" si="8"/>
        <v>-76.488895014256371</v>
      </c>
      <c r="L27" s="57">
        <f>G28-K27</f>
        <v>3.4877452755346781</v>
      </c>
    </row>
    <row r="28" spans="5:12" x14ac:dyDescent="0.3">
      <c r="F28" s="12">
        <v>49985.5</v>
      </c>
      <c r="G28" s="13">
        <v>-73.001149738721693</v>
      </c>
      <c r="I28" s="56"/>
      <c r="J28" s="56">
        <f t="shared" si="7"/>
        <v>100000</v>
      </c>
      <c r="K28" s="62">
        <f t="shared" si="8"/>
        <v>-45.135350449011248</v>
      </c>
      <c r="L28" s="57">
        <f>G30-K28</f>
        <v>-1.0210211073678508</v>
      </c>
    </row>
    <row r="29" spans="5:12" x14ac:dyDescent="0.3">
      <c r="F29" s="12">
        <v>49985</v>
      </c>
      <c r="G29" s="13">
        <v>-73.086956453125254</v>
      </c>
    </row>
    <row r="30" spans="5:12" x14ac:dyDescent="0.3">
      <c r="F30" s="12">
        <v>100026</v>
      </c>
      <c r="G30" s="13">
        <v>-46.156371556379099</v>
      </c>
    </row>
    <row r="31" spans="5:12" x14ac:dyDescent="0.3">
      <c r="F31" s="12">
        <v>100026</v>
      </c>
      <c r="G31" s="13">
        <v>-45.006206614518717</v>
      </c>
    </row>
  </sheetData>
  <pageMargins left="0.7" right="0.7" top="0.75" bottom="0.75" header="0.3" footer="0.3"/>
  <pageSetup paperSize="9" fitToWidth="0" pageOrder="overThenDown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06"/>
  <sheetViews>
    <sheetView tabSelected="1" topLeftCell="M1" workbookViewId="0">
      <pane ySplit="2" topLeftCell="A3" activePane="bottomLeft" state="frozen"/>
      <selection pane="bottomLeft" activeCell="N1" sqref="N1:S15"/>
    </sheetView>
  </sheetViews>
  <sheetFormatPr baseColWidth="10" defaultColWidth="8.88671875" defaultRowHeight="14.4" x14ac:dyDescent="0.3"/>
  <cols>
    <col min="1" max="2" width="17.33203125" customWidth="1"/>
    <col min="3" max="5" width="18.88671875" customWidth="1"/>
    <col min="6" max="6" width="15.109375" style="35" customWidth="1"/>
    <col min="7" max="7" width="14.88671875" customWidth="1"/>
    <col min="8" max="8" width="14" customWidth="1"/>
    <col min="9" max="9" width="13.44140625" customWidth="1"/>
    <col min="10" max="10" width="14.5546875" customWidth="1"/>
    <col min="13" max="13" width="10.33203125" customWidth="1"/>
    <col min="14" max="14" width="17.109375" customWidth="1"/>
    <col min="25" max="25" width="9.21875" bestFit="1" customWidth="1"/>
  </cols>
  <sheetData>
    <row r="1" spans="1:31" x14ac:dyDescent="0.3">
      <c r="G1" s="102" t="s">
        <v>0</v>
      </c>
      <c r="H1" s="102"/>
      <c r="I1" s="102" t="s">
        <v>1</v>
      </c>
      <c r="J1" s="102"/>
      <c r="L1" s="69" t="s">
        <v>64</v>
      </c>
      <c r="M1" s="84">
        <v>45456</v>
      </c>
      <c r="N1" s="85"/>
      <c r="O1" s="83" t="s">
        <v>0</v>
      </c>
      <c r="P1" s="86" t="s">
        <v>87</v>
      </c>
      <c r="Q1" s="87" t="s">
        <v>85</v>
      </c>
      <c r="R1" s="71"/>
      <c r="S1" t="s">
        <v>85</v>
      </c>
      <c r="T1" s="70">
        <v>46148</v>
      </c>
      <c r="U1" t="s">
        <v>86</v>
      </c>
      <c r="V1" t="s">
        <v>0</v>
      </c>
      <c r="X1" t="s">
        <v>1</v>
      </c>
    </row>
    <row r="2" spans="1:31" ht="28.8" x14ac:dyDescent="0.3">
      <c r="A2" s="1" t="s">
        <v>3</v>
      </c>
      <c r="B2" s="1" t="s">
        <v>2</v>
      </c>
      <c r="C2" s="1" t="s">
        <v>4</v>
      </c>
      <c r="D2" s="1" t="s">
        <v>5</v>
      </c>
      <c r="E2" s="1" t="s">
        <v>6</v>
      </c>
      <c r="F2" s="2" t="s">
        <v>12</v>
      </c>
      <c r="G2" s="2" t="s">
        <v>7</v>
      </c>
      <c r="H2" s="2" t="s">
        <v>8</v>
      </c>
      <c r="I2" s="2" t="s">
        <v>9</v>
      </c>
      <c r="J2" s="1" t="s">
        <v>8</v>
      </c>
      <c r="L2" s="58" t="s">
        <v>10</v>
      </c>
      <c r="M2" s="79"/>
      <c r="N2" s="88" t="s">
        <v>12</v>
      </c>
      <c r="O2" s="88" t="s">
        <v>8</v>
      </c>
      <c r="P2" s="83" t="s">
        <v>8</v>
      </c>
      <c r="Q2" s="83" t="s">
        <v>8</v>
      </c>
      <c r="R2" t="s">
        <v>88</v>
      </c>
      <c r="V2" t="s">
        <v>29</v>
      </c>
      <c r="W2" t="s">
        <v>79</v>
      </c>
      <c r="X2" t="s">
        <v>29</v>
      </c>
      <c r="Y2" t="s">
        <v>79</v>
      </c>
    </row>
    <row r="3" spans="1:31" x14ac:dyDescent="0.3">
      <c r="A3" s="4">
        <v>1</v>
      </c>
      <c r="B3" s="7">
        <v>62.461538461538503</v>
      </c>
      <c r="C3" s="7">
        <v>16.803494994352999</v>
      </c>
      <c r="D3" s="3">
        <v>0</v>
      </c>
      <c r="E3" s="7">
        <v>16.8060912733308</v>
      </c>
      <c r="F3" s="38"/>
      <c r="G3" s="24">
        <f t="shared" ref="G3:G34" si="0">10^(E3/20)</f>
        <v>6.9231631090306305</v>
      </c>
      <c r="H3" s="4"/>
      <c r="I3" s="7">
        <f t="shared" ref="I3:I34" si="1">10^(D3/20)</f>
        <v>1</v>
      </c>
      <c r="J3" s="4"/>
      <c r="M3" s="79"/>
      <c r="N3" s="89">
        <v>62.5</v>
      </c>
      <c r="O3" s="81">
        <f>H6</f>
        <v>-150.73823909187104</v>
      </c>
      <c r="P3" s="81">
        <f>J6</f>
        <v>-148.22386449604772</v>
      </c>
      <c r="Q3" s="81">
        <f>AE6</f>
        <v>-141.43726322725411</v>
      </c>
      <c r="R3" s="8">
        <f>P3-Q3</f>
        <v>-6.7866012687936177</v>
      </c>
      <c r="U3" s="72">
        <v>1</v>
      </c>
      <c r="V3" s="73">
        <v>62.461538461538503</v>
      </c>
      <c r="W3" s="74"/>
      <c r="X3" s="74">
        <v>62.5</v>
      </c>
      <c r="Y3" s="75">
        <v>16.8527713827777</v>
      </c>
      <c r="Z3" s="74"/>
      <c r="AA3" s="74"/>
      <c r="AB3" s="74"/>
      <c r="AC3" s="74"/>
      <c r="AD3" s="75">
        <f t="shared" ref="AD3:AD20" si="2">10^(Y3/20)</f>
        <v>6.9604700506654789</v>
      </c>
      <c r="AE3" s="74"/>
    </row>
    <row r="4" spans="1:31" x14ac:dyDescent="0.3">
      <c r="A4" s="4">
        <v>2</v>
      </c>
      <c r="B4" s="7">
        <v>125.07692307692299</v>
      </c>
      <c r="C4" s="6">
        <v>-133.545673291192</v>
      </c>
      <c r="D4" s="7">
        <v>-150.34916828554501</v>
      </c>
      <c r="E4" s="7">
        <v>-136.81537221951001</v>
      </c>
      <c r="F4" s="38"/>
      <c r="G4" s="24">
        <f t="shared" si="0"/>
        <v>1.4428839050935814E-7</v>
      </c>
      <c r="H4" s="4"/>
      <c r="I4" s="7">
        <f t="shared" si="1"/>
        <v>3.0376769497599455E-8</v>
      </c>
      <c r="J4" s="4"/>
      <c r="M4" s="79"/>
      <c r="N4" s="89">
        <v>125</v>
      </c>
      <c r="O4" s="81">
        <f>H15</f>
        <v>-147.34615383811291</v>
      </c>
      <c r="P4" s="81">
        <f>J15</f>
        <v>-144.22825059880785</v>
      </c>
      <c r="Q4" s="81">
        <f>AE15</f>
        <v>-140.83444501081323</v>
      </c>
      <c r="R4" s="8">
        <f t="shared" ref="R4" si="3">P4-Q4</f>
        <v>-3.3938055879946205</v>
      </c>
      <c r="U4" s="72">
        <v>2</v>
      </c>
      <c r="V4" s="73">
        <v>125.07692307692299</v>
      </c>
      <c r="W4" s="74"/>
      <c r="X4" s="74">
        <f>X3*2</f>
        <v>125</v>
      </c>
      <c r="Y4" s="75">
        <v>-129.36099999999999</v>
      </c>
      <c r="Z4" s="74"/>
      <c r="AA4" s="74"/>
      <c r="AB4" s="74"/>
      <c r="AC4" s="74"/>
      <c r="AD4" s="75">
        <f t="shared" si="2"/>
        <v>3.4036900101576873E-7</v>
      </c>
      <c r="AE4" s="74"/>
    </row>
    <row r="5" spans="1:31" x14ac:dyDescent="0.3">
      <c r="A5" s="4">
        <v>3</v>
      </c>
      <c r="B5" s="7">
        <v>187.538461538462</v>
      </c>
      <c r="C5" s="5">
        <v>-140.443273510457</v>
      </c>
      <c r="D5" s="7">
        <v>-157.24676850481001</v>
      </c>
      <c r="E5" s="7">
        <v>-145.528500868419</v>
      </c>
      <c r="F5" s="38"/>
      <c r="G5" s="24">
        <f t="shared" si="0"/>
        <v>5.2914531658344322E-8</v>
      </c>
      <c r="H5" s="25"/>
      <c r="I5" s="7">
        <f t="shared" si="1"/>
        <v>1.3729716658746251E-8</v>
      </c>
      <c r="J5" s="25"/>
      <c r="M5" s="79"/>
      <c r="N5" s="82">
        <v>250</v>
      </c>
      <c r="O5" s="82"/>
      <c r="P5" s="82"/>
      <c r="Q5" s="81">
        <f>AE24</f>
        <v>-146.38574108635882</v>
      </c>
      <c r="S5" s="82" t="s">
        <v>89</v>
      </c>
      <c r="U5" s="72">
        <v>3</v>
      </c>
      <c r="V5" s="73">
        <v>187.538461538462</v>
      </c>
      <c r="W5" s="74"/>
      <c r="X5" s="74">
        <f>X3*3</f>
        <v>187.5</v>
      </c>
      <c r="Y5" s="75">
        <v>-133.81</v>
      </c>
      <c r="Z5" s="74"/>
      <c r="AA5" s="74"/>
      <c r="AB5" s="74"/>
      <c r="AC5" s="74"/>
      <c r="AD5" s="75">
        <f t="shared" si="2"/>
        <v>2.0393886596086099E-7</v>
      </c>
      <c r="AE5" s="76"/>
    </row>
    <row r="6" spans="1:31" x14ac:dyDescent="0.3">
      <c r="A6" s="4">
        <v>4</v>
      </c>
      <c r="B6" s="3">
        <v>250</v>
      </c>
      <c r="C6" s="7">
        <v>-139.50391675616299</v>
      </c>
      <c r="D6" s="7">
        <v>-156.307411750516</v>
      </c>
      <c r="E6" s="7">
        <v>-139.47058261645699</v>
      </c>
      <c r="F6" s="39">
        <f>B3</f>
        <v>62.461538461538503</v>
      </c>
      <c r="G6" s="26">
        <f t="shared" si="0"/>
        <v>1.0628472891289658E-7</v>
      </c>
      <c r="H6" s="9">
        <f>20*LOG10(SQRT(SUMSQ(G4:G11))/G3)</f>
        <v>-150.73823909187104</v>
      </c>
      <c r="I6" s="27">
        <f t="shared" si="1"/>
        <v>1.52978152775467E-8</v>
      </c>
      <c r="J6" s="9">
        <f>20*LOG10(SQRT(SUMSQ(I4:I11))/I3)</f>
        <v>-148.22386449604772</v>
      </c>
      <c r="M6" s="79"/>
      <c r="N6" s="82">
        <v>250</v>
      </c>
      <c r="O6" s="82"/>
      <c r="P6" s="82"/>
      <c r="Q6" s="81">
        <f>AE33</f>
        <v>-144.11270536057842</v>
      </c>
      <c r="S6" s="82" t="s">
        <v>90</v>
      </c>
      <c r="U6" s="72">
        <v>4</v>
      </c>
      <c r="V6" s="73">
        <v>250</v>
      </c>
      <c r="W6" s="74"/>
      <c r="X6" s="74">
        <f>X3*4</f>
        <v>250</v>
      </c>
      <c r="Y6" s="75">
        <v>-127.718</v>
      </c>
      <c r="Z6" s="74"/>
      <c r="AA6" s="74"/>
      <c r="AB6" s="74"/>
      <c r="AC6" s="74"/>
      <c r="AD6" s="77">
        <f t="shared" si="2"/>
        <v>4.112444027266081E-7</v>
      </c>
      <c r="AE6" s="78">
        <f>20*LOG10(SQRT(SUMSQ(AD4:AD11))/AD3)</f>
        <v>-141.43726322725411</v>
      </c>
    </row>
    <row r="7" spans="1:31" x14ac:dyDescent="0.3">
      <c r="A7" s="4">
        <v>5</v>
      </c>
      <c r="B7" s="7">
        <v>312.46153846153902</v>
      </c>
      <c r="C7" s="7">
        <v>-145.23595095808</v>
      </c>
      <c r="D7" s="7">
        <v>-162.039445952433</v>
      </c>
      <c r="E7" s="7">
        <v>-148.92476856338001</v>
      </c>
      <c r="F7" s="38"/>
      <c r="G7" s="24">
        <f t="shared" si="0"/>
        <v>3.5789989570334506E-8</v>
      </c>
      <c r="H7" s="4"/>
      <c r="I7" s="7">
        <f t="shared" si="1"/>
        <v>7.9072906469202181E-9</v>
      </c>
      <c r="J7" s="4"/>
      <c r="M7" s="79"/>
      <c r="N7" s="89">
        <v>625</v>
      </c>
      <c r="O7" s="81">
        <f>H24</f>
        <v>-150.83409319283331</v>
      </c>
      <c r="P7" s="81">
        <f>J24</f>
        <v>-137.53091675107942</v>
      </c>
      <c r="Q7" s="81">
        <f>AE42</f>
        <v>-134.78222806390801</v>
      </c>
      <c r="R7" s="8">
        <f>P7-Q7</f>
        <v>-2.7486886871714091</v>
      </c>
      <c r="U7" s="72">
        <v>5</v>
      </c>
      <c r="V7" s="73">
        <v>312.46153846153902</v>
      </c>
      <c r="W7" s="74"/>
      <c r="X7" s="74">
        <f>X3*5</f>
        <v>312.5</v>
      </c>
      <c r="Y7" s="75">
        <v>-139.39099999999999</v>
      </c>
      <c r="Z7" s="74"/>
      <c r="AA7" s="74"/>
      <c r="AB7" s="74"/>
      <c r="AC7" s="74"/>
      <c r="AD7" s="75">
        <f t="shared" si="2"/>
        <v>1.0726301496168953E-7</v>
      </c>
      <c r="AE7" s="74"/>
    </row>
    <row r="8" spans="1:31" x14ac:dyDescent="0.3">
      <c r="A8" s="4">
        <v>6</v>
      </c>
      <c r="B8" s="7">
        <v>375.538461538462</v>
      </c>
      <c r="C8" s="7">
        <v>-149.676834534275</v>
      </c>
      <c r="D8" s="7">
        <v>-166.480329528628</v>
      </c>
      <c r="E8" s="6">
        <v>-149.27341308822099</v>
      </c>
      <c r="F8" s="41"/>
      <c r="G8" s="24">
        <f t="shared" si="0"/>
        <v>3.4381858259228846E-8</v>
      </c>
      <c r="H8" s="4"/>
      <c r="I8" s="7">
        <f t="shared" si="1"/>
        <v>4.7422399362635847E-9</v>
      </c>
      <c r="J8" s="4"/>
      <c r="M8" s="79"/>
      <c r="N8" s="89">
        <v>1000</v>
      </c>
      <c r="O8" s="81">
        <f>H33</f>
        <v>-147.7235175255372</v>
      </c>
      <c r="P8" s="81">
        <f>J33</f>
        <v>-134.12925654041803</v>
      </c>
      <c r="Q8" s="81">
        <f>AE51</f>
        <v>-136.00100203069411</v>
      </c>
      <c r="R8" s="8">
        <f>P8-Q8</f>
        <v>1.8717454902760835</v>
      </c>
      <c r="U8" s="72">
        <v>6</v>
      </c>
      <c r="V8" s="73">
        <v>375.538461538462</v>
      </c>
      <c r="W8" s="74"/>
      <c r="X8" s="74">
        <f>$X$3*U8</f>
        <v>375</v>
      </c>
      <c r="Y8" s="75">
        <v>-149.69</v>
      </c>
      <c r="Z8" s="74"/>
      <c r="AA8" s="74"/>
      <c r="AB8" s="74"/>
      <c r="AC8" s="74"/>
      <c r="AD8" s="75">
        <f t="shared" si="2"/>
        <v>3.2771777680517158E-8</v>
      </c>
      <c r="AE8" s="74"/>
    </row>
    <row r="9" spans="1:31" x14ac:dyDescent="0.3">
      <c r="A9" s="4">
        <v>7</v>
      </c>
      <c r="B9" s="7">
        <v>438.30769230769198</v>
      </c>
      <c r="C9" s="7">
        <v>-149.35085635984899</v>
      </c>
      <c r="D9" s="7">
        <v>-166.15435135420199</v>
      </c>
      <c r="E9" s="7">
        <v>-152.17645418382199</v>
      </c>
      <c r="F9" s="38"/>
      <c r="G9" s="24">
        <f t="shared" si="0"/>
        <v>2.4613721980982445E-8</v>
      </c>
      <c r="H9" s="4"/>
      <c r="I9" s="7">
        <f t="shared" si="1"/>
        <v>4.9235962505735789E-9</v>
      </c>
      <c r="J9" s="4"/>
      <c r="M9" s="79"/>
      <c r="N9" s="89">
        <v>2000</v>
      </c>
      <c r="O9" s="81">
        <f>H42</f>
        <v>-142.58861933214973</v>
      </c>
      <c r="P9" s="81">
        <f>J42</f>
        <v>-127.29534816785203</v>
      </c>
      <c r="Q9" s="81">
        <f>AE60</f>
        <v>-126.32781739813586</v>
      </c>
      <c r="R9" s="8">
        <f>P9-Q9</f>
        <v>-0.96753076971616281</v>
      </c>
      <c r="U9" s="72">
        <v>7</v>
      </c>
      <c r="V9" s="73">
        <v>438.30769230769198</v>
      </c>
      <c r="W9" s="74"/>
      <c r="X9" s="74">
        <f t="shared" ref="X9:X11" si="4">$X$3*U9</f>
        <v>437.5</v>
      </c>
      <c r="Y9" s="75">
        <v>-142.38</v>
      </c>
      <c r="Z9" s="74"/>
      <c r="AA9" s="74"/>
      <c r="AB9" s="74"/>
      <c r="AC9" s="74"/>
      <c r="AD9" s="75">
        <f t="shared" si="2"/>
        <v>7.6032627694018007E-8</v>
      </c>
      <c r="AE9" s="74"/>
    </row>
    <row r="10" spans="1:31" x14ac:dyDescent="0.3">
      <c r="A10" s="4">
        <v>8</v>
      </c>
      <c r="B10" s="3">
        <v>500.30769230769198</v>
      </c>
      <c r="C10" s="7">
        <v>-149.10150213389099</v>
      </c>
      <c r="D10" s="7">
        <v>-165.90499712824399</v>
      </c>
      <c r="E10" s="7">
        <v>-148.28967072206899</v>
      </c>
      <c r="F10" s="38"/>
      <c r="G10" s="24">
        <f t="shared" si="0"/>
        <v>3.850494114413653E-8</v>
      </c>
      <c r="H10" s="4"/>
      <c r="I10" s="7">
        <f t="shared" si="1"/>
        <v>5.066991124736237E-9</v>
      </c>
      <c r="J10" s="4"/>
      <c r="M10" s="79"/>
      <c r="N10" s="89">
        <v>5000</v>
      </c>
      <c r="O10" s="81">
        <f>H51</f>
        <v>-135.28615156757104</v>
      </c>
      <c r="P10" s="81">
        <f>J51</f>
        <v>-115.4861752048263</v>
      </c>
      <c r="Q10" s="81">
        <f>AE69</f>
        <v>-117.72510386734149</v>
      </c>
      <c r="R10" s="8">
        <f>P10-Q10</f>
        <v>2.2389286625151925</v>
      </c>
      <c r="U10" s="72">
        <v>8</v>
      </c>
      <c r="V10" s="73">
        <v>500.30769230769198</v>
      </c>
      <c r="W10" s="74"/>
      <c r="X10" s="74">
        <f t="shared" si="4"/>
        <v>500</v>
      </c>
      <c r="Y10" s="75">
        <v>-147.15600000000001</v>
      </c>
      <c r="Z10" s="74"/>
      <c r="AA10" s="74"/>
      <c r="AB10" s="74"/>
      <c r="AC10" s="74"/>
      <c r="AD10" s="75">
        <f t="shared" si="2"/>
        <v>4.3873269513252846E-8</v>
      </c>
      <c r="AE10" s="74"/>
    </row>
    <row r="11" spans="1:31" x14ac:dyDescent="0.3">
      <c r="A11" s="4">
        <v>9</v>
      </c>
      <c r="B11" s="7">
        <v>563.69230769230796</v>
      </c>
      <c r="C11" s="7">
        <v>-149.20663322416701</v>
      </c>
      <c r="D11" s="5">
        <v>-166.01012821852001</v>
      </c>
      <c r="E11" s="6">
        <v>-150.12980544598199</v>
      </c>
      <c r="F11" s="41"/>
      <c r="G11" s="24">
        <f t="shared" si="0"/>
        <v>3.1153706759410163E-8</v>
      </c>
      <c r="H11" s="4"/>
      <c r="I11" s="7">
        <f t="shared" si="1"/>
        <v>5.0060316271924662E-9</v>
      </c>
      <c r="J11" s="4"/>
      <c r="M11" s="79"/>
      <c r="N11" s="89">
        <v>10000</v>
      </c>
      <c r="O11" s="81">
        <f>H60</f>
        <v>-130.50810931821422</v>
      </c>
      <c r="P11" s="81">
        <f>J60</f>
        <v>-103.88207512249218</v>
      </c>
      <c r="Q11" s="81">
        <f>AE78</f>
        <v>-108.85295444873699</v>
      </c>
      <c r="R11" s="8">
        <f>P11-Q11</f>
        <v>4.9708793262448125</v>
      </c>
      <c r="U11" s="72">
        <v>9</v>
      </c>
      <c r="V11" s="73">
        <v>563.69230769230796</v>
      </c>
      <c r="W11" s="74"/>
      <c r="X11" s="74">
        <f t="shared" si="4"/>
        <v>562.5</v>
      </c>
      <c r="Y11" s="75">
        <v>-149.477</v>
      </c>
      <c r="Z11" s="74"/>
      <c r="AA11" s="74"/>
      <c r="AB11" s="74"/>
      <c r="AC11" s="74"/>
      <c r="AD11" s="75">
        <f t="shared" si="2"/>
        <v>3.358535939346414E-8</v>
      </c>
      <c r="AE11" s="74"/>
    </row>
    <row r="12" spans="1:31" x14ac:dyDescent="0.3">
      <c r="A12">
        <v>1</v>
      </c>
      <c r="B12" s="8">
        <v>125.07692307692299</v>
      </c>
      <c r="C12" s="8">
        <v>16.839451173011799</v>
      </c>
      <c r="D12" s="12">
        <v>0</v>
      </c>
      <c r="E12" s="8">
        <v>16.842000493184301</v>
      </c>
      <c r="F12" s="44"/>
      <c r="G12" s="28">
        <f t="shared" si="0"/>
        <v>6.9518441075077533</v>
      </c>
      <c r="I12" s="8">
        <f t="shared" si="1"/>
        <v>1</v>
      </c>
      <c r="M12" s="79"/>
      <c r="N12" s="90">
        <v>20000</v>
      </c>
      <c r="O12" s="81">
        <f>H67</f>
        <v>-125.85303347247995</v>
      </c>
      <c r="P12" s="81">
        <f>J67</f>
        <v>-92.428525690245834</v>
      </c>
      <c r="Q12" s="81">
        <f>AE87</f>
        <v>-98.741233191181394</v>
      </c>
      <c r="R12" s="8">
        <f t="shared" ref="R12:R15" si="5">P12-Q12</f>
        <v>6.3127075009355593</v>
      </c>
      <c r="U12" s="79">
        <v>1</v>
      </c>
      <c r="X12">
        <v>125</v>
      </c>
      <c r="Y12">
        <v>16.770960147865701</v>
      </c>
      <c r="AD12" s="8">
        <f t="shared" si="2"/>
        <v>6.8952180946322752</v>
      </c>
    </row>
    <row r="13" spans="1:31" x14ac:dyDescent="0.3">
      <c r="A13">
        <v>2</v>
      </c>
      <c r="B13" s="12">
        <v>250</v>
      </c>
      <c r="C13" s="8">
        <v>-128.13973271932099</v>
      </c>
      <c r="D13" s="8">
        <v>-144.9791838923328</v>
      </c>
      <c r="E13" s="8">
        <v>-131.50683112998101</v>
      </c>
      <c r="F13" s="44"/>
      <c r="G13" s="28">
        <f t="shared" si="0"/>
        <v>2.6586333208891934E-7</v>
      </c>
      <c r="I13" s="8">
        <f t="shared" si="1"/>
        <v>5.6369061650610053E-8</v>
      </c>
      <c r="N13" s="89">
        <v>50000</v>
      </c>
      <c r="O13" s="81">
        <f>H73</f>
        <v>-118.11311739844359</v>
      </c>
      <c r="P13" s="81">
        <f>J73</f>
        <v>-76.487753427260813</v>
      </c>
      <c r="Q13" s="82"/>
      <c r="R13" s="8"/>
      <c r="U13" s="79">
        <v>2</v>
      </c>
      <c r="X13">
        <f>U13*$X$12</f>
        <v>250</v>
      </c>
      <c r="Y13" s="8">
        <v>-125.20099999999999</v>
      </c>
      <c r="AD13" s="8">
        <f t="shared" si="2"/>
        <v>5.4947760926829036E-7</v>
      </c>
    </row>
    <row r="14" spans="1:31" x14ac:dyDescent="0.3">
      <c r="A14">
        <v>3</v>
      </c>
      <c r="B14" s="8">
        <v>375.07692307692298</v>
      </c>
      <c r="C14" s="8">
        <v>-137.55994590887599</v>
      </c>
      <c r="D14" s="8">
        <v>-154.3993970818878</v>
      </c>
      <c r="E14" s="8">
        <v>-142.47230832443</v>
      </c>
      <c r="F14" s="44"/>
      <c r="G14" s="28">
        <f t="shared" si="0"/>
        <v>7.5228877859639943E-8</v>
      </c>
      <c r="H14" s="29"/>
      <c r="I14" s="8">
        <f t="shared" si="1"/>
        <v>1.9055929872759044E-8</v>
      </c>
      <c r="J14" s="29"/>
      <c r="N14" s="89">
        <v>100000</v>
      </c>
      <c r="O14" s="81">
        <f>H80</f>
        <v>-109.63359525407634</v>
      </c>
      <c r="P14" s="81">
        <f>J80</f>
        <v>-45.135344868475457</v>
      </c>
      <c r="Q14" s="81">
        <f>AE96</f>
        <v>-77.514691595101525</v>
      </c>
      <c r="R14" s="8">
        <f t="shared" si="5"/>
        <v>32.379346726626068</v>
      </c>
      <c r="U14" s="79">
        <v>3</v>
      </c>
      <c r="X14">
        <f t="shared" ref="X14:X20" si="6">U14*$X$12</f>
        <v>375</v>
      </c>
      <c r="Y14" s="8">
        <v>-144.11099999999999</v>
      </c>
      <c r="AD14" s="8">
        <f t="shared" si="2"/>
        <v>6.2294542405805514E-8</v>
      </c>
      <c r="AE14" s="29"/>
    </row>
    <row r="15" spans="1:31" x14ac:dyDescent="0.3">
      <c r="A15">
        <v>4</v>
      </c>
      <c r="B15" s="8">
        <v>500.15384615384602</v>
      </c>
      <c r="C15" s="8">
        <v>-144.561824942382</v>
      </c>
      <c r="D15" s="8">
        <v>-161.40127611539381</v>
      </c>
      <c r="E15" s="8">
        <v>-141.498348245297</v>
      </c>
      <c r="F15" s="45">
        <f>B12</f>
        <v>125.07692307692299</v>
      </c>
      <c r="G15" s="30">
        <f t="shared" si="0"/>
        <v>8.4155516100905745E-8</v>
      </c>
      <c r="H15" s="15">
        <f>20*LOG10(SQRT(SUMSQ(G13:G20))/G12)</f>
        <v>-147.34615383811291</v>
      </c>
      <c r="I15" s="31">
        <f t="shared" si="1"/>
        <v>8.5101299970726176E-9</v>
      </c>
      <c r="J15" s="15">
        <f>20*LOG10(SQRT(SUMSQ(I13:I20))/I12)</f>
        <v>-144.22825059880785</v>
      </c>
      <c r="N15" s="89">
        <v>200000</v>
      </c>
      <c r="O15" s="81"/>
      <c r="P15" s="111"/>
      <c r="Q15" s="81">
        <f>AE104</f>
        <v>-69.374418715107481</v>
      </c>
      <c r="R15" s="8"/>
      <c r="U15" s="79">
        <v>4</v>
      </c>
      <c r="X15">
        <f t="shared" si="6"/>
        <v>500</v>
      </c>
      <c r="Y15">
        <v>-135.107</v>
      </c>
      <c r="AD15" s="31">
        <f t="shared" si="2"/>
        <v>1.7565074656278517E-7</v>
      </c>
      <c r="AE15" s="15">
        <f>20*LOG10(SQRT(SUMSQ(AD13:AD20))/AD12)</f>
        <v>-140.83444501081323</v>
      </c>
    </row>
    <row r="16" spans="1:31" x14ac:dyDescent="0.3">
      <c r="A16">
        <v>5</v>
      </c>
      <c r="B16" s="8">
        <v>625.23076923076997</v>
      </c>
      <c r="C16" s="8">
        <v>-146.643367281336</v>
      </c>
      <c r="D16" s="8">
        <v>-163.48281845434781</v>
      </c>
      <c r="E16" s="8">
        <v>-145.31398774737099</v>
      </c>
      <c r="F16" s="44"/>
      <c r="G16" s="28">
        <f t="shared" si="0"/>
        <v>5.4237618579095836E-8</v>
      </c>
      <c r="I16" s="8">
        <f t="shared" si="1"/>
        <v>6.6966727613460835E-9</v>
      </c>
      <c r="U16" s="79">
        <v>5</v>
      </c>
      <c r="X16">
        <f t="shared" si="6"/>
        <v>625</v>
      </c>
      <c r="Y16">
        <v>-146.28200000000001</v>
      </c>
      <c r="AD16" s="8">
        <f t="shared" si="2"/>
        <v>4.8517677121925599E-8</v>
      </c>
    </row>
    <row r="17" spans="1:31" x14ac:dyDescent="0.3">
      <c r="A17">
        <v>6</v>
      </c>
      <c r="B17" s="8">
        <v>750.15384615384596</v>
      </c>
      <c r="C17" s="8">
        <v>-146.86123765151601</v>
      </c>
      <c r="D17" s="8">
        <v>-163.70068882452779</v>
      </c>
      <c r="E17" s="8">
        <v>-152.108486425851</v>
      </c>
      <c r="F17" s="44"/>
      <c r="G17" s="28">
        <f t="shared" si="0"/>
        <v>2.4807081799621953E-8</v>
      </c>
      <c r="I17" s="8">
        <f t="shared" si="1"/>
        <v>6.5307875893092316E-9</v>
      </c>
      <c r="U17" s="79">
        <v>6</v>
      </c>
      <c r="X17">
        <f t="shared" si="6"/>
        <v>750</v>
      </c>
      <c r="Y17" s="80">
        <v>-134.017</v>
      </c>
      <c r="AD17" s="8">
        <f t="shared" si="2"/>
        <v>1.9913610119505672E-7</v>
      </c>
    </row>
    <row r="18" spans="1:31" x14ac:dyDescent="0.3">
      <c r="A18">
        <v>7</v>
      </c>
      <c r="B18" s="8">
        <v>877.69230769230796</v>
      </c>
      <c r="C18" s="8">
        <v>-148.68795452626901</v>
      </c>
      <c r="D18" s="8">
        <v>-165.52740569928079</v>
      </c>
      <c r="E18" s="8">
        <v>-150.26575039819801</v>
      </c>
      <c r="F18" s="44"/>
      <c r="G18" s="28">
        <f t="shared" si="0"/>
        <v>3.066990848384713E-8</v>
      </c>
      <c r="I18" s="8">
        <f t="shared" si="1"/>
        <v>5.2921203860958779E-9</v>
      </c>
      <c r="U18" s="79">
        <v>7</v>
      </c>
      <c r="X18">
        <f t="shared" si="6"/>
        <v>875</v>
      </c>
      <c r="Y18">
        <v>-153</v>
      </c>
      <c r="AD18" s="8">
        <f t="shared" si="2"/>
        <v>2.2387211385683365E-8</v>
      </c>
    </row>
    <row r="19" spans="1:31" x14ac:dyDescent="0.3">
      <c r="A19">
        <v>8</v>
      </c>
      <c r="B19" s="12">
        <v>1001.23076923077</v>
      </c>
      <c r="C19" s="13">
        <v>-149.583636243364</v>
      </c>
      <c r="D19" s="8">
        <v>-166.42308741637581</v>
      </c>
      <c r="E19" s="8">
        <v>-154.31889619979199</v>
      </c>
      <c r="F19" s="44"/>
      <c r="G19" s="28">
        <f t="shared" si="0"/>
        <v>1.9233361303498642E-8</v>
      </c>
      <c r="I19" s="8">
        <f t="shared" si="1"/>
        <v>4.7735956511143318E-9</v>
      </c>
      <c r="U19" s="79">
        <v>8</v>
      </c>
      <c r="X19">
        <f t="shared" si="6"/>
        <v>1000</v>
      </c>
      <c r="Y19" s="80">
        <v>-138.91300000000001</v>
      </c>
      <c r="AD19" s="8">
        <f t="shared" si="2"/>
        <v>1.1333133379399716E-7</v>
      </c>
    </row>
    <row r="20" spans="1:31" x14ac:dyDescent="0.3">
      <c r="A20">
        <v>9</v>
      </c>
      <c r="B20" s="8">
        <v>1127.6923076923099</v>
      </c>
      <c r="C20" s="8">
        <v>-149.02237665675599</v>
      </c>
      <c r="D20" s="8">
        <v>-165.8618278297678</v>
      </c>
      <c r="E20" s="8">
        <v>-151.26459665515</v>
      </c>
      <c r="F20" s="44"/>
      <c r="G20" s="28">
        <f t="shared" si="0"/>
        <v>2.7338215791186151E-8</v>
      </c>
      <c r="I20" s="8">
        <f t="shared" si="1"/>
        <v>5.0922370043699179E-9</v>
      </c>
      <c r="U20" s="79">
        <v>9</v>
      </c>
      <c r="X20">
        <f t="shared" si="6"/>
        <v>1125</v>
      </c>
      <c r="Y20" s="80">
        <v>-155</v>
      </c>
      <c r="AD20" s="8">
        <f t="shared" si="2"/>
        <v>1.7782794100389218E-8</v>
      </c>
    </row>
    <row r="21" spans="1:31" x14ac:dyDescent="0.3">
      <c r="A21" s="4">
        <v>1</v>
      </c>
      <c r="B21" s="7">
        <v>625.23076923076906</v>
      </c>
      <c r="C21" s="7">
        <v>16.827039742245599</v>
      </c>
      <c r="D21" s="3">
        <v>0</v>
      </c>
      <c r="E21" s="7">
        <v>16.8295892215822</v>
      </c>
      <c r="F21" s="38"/>
      <c r="G21" s="24">
        <f t="shared" si="0"/>
        <v>6.9419177079498455</v>
      </c>
      <c r="H21" s="4"/>
      <c r="I21" s="7">
        <f t="shared" si="1"/>
        <v>1</v>
      </c>
      <c r="J21" s="4"/>
      <c r="U21" s="92">
        <v>1</v>
      </c>
      <c r="V21" s="93"/>
      <c r="W21" s="93"/>
      <c r="X21" s="93">
        <v>250</v>
      </c>
      <c r="Y21" s="93">
        <v>16.975471461088102</v>
      </c>
      <c r="Z21" s="93"/>
      <c r="AA21" s="93"/>
      <c r="AB21" s="93"/>
      <c r="AC21" s="93"/>
      <c r="AD21" s="94">
        <f t="shared" ref="AD21:AD29" si="7">10^(Y21/20)</f>
        <v>7.0594939936029251</v>
      </c>
      <c r="AE21" s="93"/>
    </row>
    <row r="22" spans="1:31" x14ac:dyDescent="0.3">
      <c r="A22" s="4">
        <v>2</v>
      </c>
      <c r="B22" s="7">
        <v>1250.3076923076901</v>
      </c>
      <c r="C22" s="7">
        <v>-121.710619680824</v>
      </c>
      <c r="D22" s="7">
        <v>-138.53765942306961</v>
      </c>
      <c r="E22" s="7">
        <v>-137.991481470786</v>
      </c>
      <c r="F22" s="38"/>
      <c r="G22" s="24">
        <f t="shared" si="0"/>
        <v>1.2601606857665981E-7</v>
      </c>
      <c r="H22" s="4"/>
      <c r="I22" s="7">
        <f t="shared" si="1"/>
        <v>1.1833603915613956E-7</v>
      </c>
      <c r="J22" s="4"/>
      <c r="U22" s="92">
        <v>2</v>
      </c>
      <c r="V22" s="93"/>
      <c r="W22" s="93"/>
      <c r="X22" s="93">
        <f t="shared" ref="X22:X38" si="8">U22*$X$21</f>
        <v>500</v>
      </c>
      <c r="Y22" s="93">
        <v>-145.518</v>
      </c>
      <c r="Z22" s="93"/>
      <c r="AA22" s="93"/>
      <c r="AB22" s="93"/>
      <c r="AC22" s="93"/>
      <c r="AD22" s="94">
        <f t="shared" si="7"/>
        <v>5.2978541744886435E-8</v>
      </c>
      <c r="AE22" s="93"/>
    </row>
    <row r="23" spans="1:31" x14ac:dyDescent="0.3">
      <c r="A23" s="4">
        <v>3</v>
      </c>
      <c r="B23" s="7">
        <v>1875.5384615384601</v>
      </c>
      <c r="C23" s="5">
        <v>-128.55177557343899</v>
      </c>
      <c r="D23" s="7">
        <v>-145.37881531568459</v>
      </c>
      <c r="E23" s="7">
        <v>-138.778686260418</v>
      </c>
      <c r="F23" s="38"/>
      <c r="G23" s="24">
        <f t="shared" si="0"/>
        <v>1.1509744605046787E-7</v>
      </c>
      <c r="H23" s="25"/>
      <c r="I23" s="7">
        <f t="shared" si="1"/>
        <v>5.383432031196463E-8</v>
      </c>
      <c r="J23" s="25"/>
      <c r="U23" s="92">
        <v>3</v>
      </c>
      <c r="V23" s="93"/>
      <c r="W23" s="93"/>
      <c r="X23" s="93">
        <f t="shared" si="8"/>
        <v>750</v>
      </c>
      <c r="Y23" s="93">
        <v>-138.11699999999999</v>
      </c>
      <c r="Z23" s="93"/>
      <c r="AA23" s="93"/>
      <c r="AB23" s="93"/>
      <c r="AC23" s="93"/>
      <c r="AD23" s="94">
        <f t="shared" si="7"/>
        <v>1.2420812331750931E-7</v>
      </c>
      <c r="AE23" s="95"/>
    </row>
    <row r="24" spans="1:31" x14ac:dyDescent="0.3">
      <c r="A24" s="4">
        <v>4</v>
      </c>
      <c r="B24" s="7">
        <v>2500.76923076923</v>
      </c>
      <c r="C24" s="7">
        <v>-136.31888639350399</v>
      </c>
      <c r="D24" s="7">
        <v>-153.14592613574959</v>
      </c>
      <c r="E24" s="7">
        <v>-144.996970201696</v>
      </c>
      <c r="F24" s="39">
        <f>B21</f>
        <v>625.23076923076906</v>
      </c>
      <c r="G24" s="26">
        <f t="shared" si="0"/>
        <v>5.6253751441838893E-8</v>
      </c>
      <c r="H24" s="9">
        <f>20*LOG10(SQRT(SUMSQ(G22:G29))/G21)</f>
        <v>-150.83409319283331</v>
      </c>
      <c r="I24" s="27">
        <f t="shared" si="1"/>
        <v>2.2014239815173958E-8</v>
      </c>
      <c r="J24" s="9">
        <f>20*LOG10(SQRT(SUMSQ(I22:I29))/I21)</f>
        <v>-137.53091675107942</v>
      </c>
      <c r="U24" s="92">
        <v>4</v>
      </c>
      <c r="V24" s="93"/>
      <c r="W24" s="93"/>
      <c r="X24" s="93">
        <f t="shared" si="8"/>
        <v>1000</v>
      </c>
      <c r="Y24" s="93">
        <v>-130.98699999999999</v>
      </c>
      <c r="Z24" s="93"/>
      <c r="AA24" s="93"/>
      <c r="AB24" s="93"/>
      <c r="AC24" s="93"/>
      <c r="AD24" s="96">
        <f t="shared" si="7"/>
        <v>2.8226043077424948E-7</v>
      </c>
      <c r="AE24" s="97">
        <f>20*LOG10(SQRT(SUMSQ(AD22:AD29))/AD21)</f>
        <v>-146.38574108635882</v>
      </c>
    </row>
    <row r="25" spans="1:31" x14ac:dyDescent="0.3">
      <c r="A25" s="4">
        <v>5</v>
      </c>
      <c r="B25" s="7">
        <v>3125.8461538461602</v>
      </c>
      <c r="C25" s="7">
        <v>-141.01775016381299</v>
      </c>
      <c r="D25" s="7">
        <v>-157.84478990605859</v>
      </c>
      <c r="E25" s="7">
        <v>-145.418551995662</v>
      </c>
      <c r="F25" s="38"/>
      <c r="G25" s="24">
        <f t="shared" si="0"/>
        <v>5.3588598636613296E-8</v>
      </c>
      <c r="H25" s="4"/>
      <c r="I25" s="7">
        <f t="shared" si="1"/>
        <v>1.2816236257409952E-8</v>
      </c>
      <c r="J25" s="4"/>
      <c r="U25" s="92">
        <v>5</v>
      </c>
      <c r="V25" s="93"/>
      <c r="W25" s="93"/>
      <c r="X25" s="93">
        <f t="shared" si="8"/>
        <v>1250</v>
      </c>
      <c r="Y25" s="93">
        <v>-144.65600000000001</v>
      </c>
      <c r="Z25" s="93"/>
      <c r="AA25" s="93"/>
      <c r="AB25" s="93"/>
      <c r="AC25" s="93"/>
      <c r="AD25" s="94">
        <f t="shared" si="7"/>
        <v>5.850594519500057E-8</v>
      </c>
      <c r="AE25" s="93"/>
    </row>
    <row r="26" spans="1:31" x14ac:dyDescent="0.3">
      <c r="A26" s="4">
        <v>6</v>
      </c>
      <c r="B26" s="7">
        <v>3751.0769230769201</v>
      </c>
      <c r="C26" s="7">
        <v>-149.03831592472201</v>
      </c>
      <c r="D26" s="5">
        <v>-165.86535566696759</v>
      </c>
      <c r="E26" s="7">
        <v>-149.37605747710001</v>
      </c>
      <c r="F26" s="38"/>
      <c r="G26" s="24">
        <f t="shared" si="0"/>
        <v>3.3977946339846716E-8</v>
      </c>
      <c r="H26" s="4"/>
      <c r="I26" s="7">
        <f t="shared" si="1"/>
        <v>5.0901691752639188E-9</v>
      </c>
      <c r="J26" s="4"/>
      <c r="U26" s="92">
        <v>6</v>
      </c>
      <c r="V26" s="93"/>
      <c r="W26" s="93"/>
      <c r="X26" s="93">
        <f t="shared" si="8"/>
        <v>1500</v>
      </c>
      <c r="Y26" s="93">
        <v>-156.77500000000001</v>
      </c>
      <c r="Z26" s="93"/>
      <c r="AA26" s="93"/>
      <c r="AB26" s="93"/>
      <c r="AC26" s="93"/>
      <c r="AD26" s="94">
        <f t="shared" si="7"/>
        <v>1.4496060737478763E-8</v>
      </c>
      <c r="AE26" s="93"/>
    </row>
    <row r="27" spans="1:31" x14ac:dyDescent="0.3">
      <c r="A27" s="4">
        <v>7</v>
      </c>
      <c r="B27" s="7">
        <v>4376.3076923076896</v>
      </c>
      <c r="C27" s="7">
        <v>-148.14187703968699</v>
      </c>
      <c r="D27" s="7">
        <v>-164.96891678193259</v>
      </c>
      <c r="E27" s="7">
        <v>-148.66864659392999</v>
      </c>
      <c r="F27" s="38"/>
      <c r="G27" s="24">
        <f t="shared" si="0"/>
        <v>3.6861047302045166E-8</v>
      </c>
      <c r="H27" s="4"/>
      <c r="I27" s="7">
        <f t="shared" si="1"/>
        <v>5.6435731800787293E-9</v>
      </c>
      <c r="J27" s="4"/>
      <c r="U27" s="92">
        <v>7</v>
      </c>
      <c r="V27" s="93"/>
      <c r="W27" s="93"/>
      <c r="X27" s="93">
        <f t="shared" si="8"/>
        <v>1750</v>
      </c>
      <c r="Y27" s="93">
        <v>-143.328</v>
      </c>
      <c r="Z27" s="93"/>
      <c r="AA27" s="93"/>
      <c r="AB27" s="93"/>
      <c r="AC27" s="93"/>
      <c r="AD27" s="94">
        <f t="shared" si="7"/>
        <v>6.8171052630585111E-8</v>
      </c>
      <c r="AE27" s="93"/>
    </row>
    <row r="28" spans="1:31" x14ac:dyDescent="0.3">
      <c r="A28" s="4">
        <v>8</v>
      </c>
      <c r="B28" s="7">
        <v>5002.1538461538503</v>
      </c>
      <c r="C28" s="7">
        <v>-150.499090602395</v>
      </c>
      <c r="D28" s="7">
        <v>-167.3261303446406</v>
      </c>
      <c r="E28" s="7">
        <v>-149.98588220894601</v>
      </c>
      <c r="F28" s="38"/>
      <c r="G28" s="24">
        <f t="shared" si="0"/>
        <v>3.16742171318068E-8</v>
      </c>
      <c r="H28" s="4"/>
      <c r="I28" s="7">
        <f t="shared" si="1"/>
        <v>4.3022285975904571E-9</v>
      </c>
      <c r="J28" s="4"/>
      <c r="U28" s="92">
        <v>8</v>
      </c>
      <c r="V28" s="93"/>
      <c r="W28" s="93"/>
      <c r="X28" s="93">
        <f t="shared" si="8"/>
        <v>2000</v>
      </c>
      <c r="Y28" s="93">
        <v>-146.845</v>
      </c>
      <c r="Z28" s="93"/>
      <c r="AA28" s="93"/>
      <c r="AB28" s="93"/>
      <c r="AC28" s="93"/>
      <c r="AD28" s="94">
        <f t="shared" si="7"/>
        <v>4.5472622333877258E-8</v>
      </c>
      <c r="AE28" s="93"/>
    </row>
    <row r="29" spans="1:31" x14ac:dyDescent="0.3">
      <c r="A29" s="4">
        <v>9</v>
      </c>
      <c r="B29" s="7">
        <v>5627.6923076923104</v>
      </c>
      <c r="C29" s="7">
        <v>-148.40944280008</v>
      </c>
      <c r="D29" s="7">
        <v>-165.2364825423256</v>
      </c>
      <c r="E29" s="7">
        <v>-149.62866892922199</v>
      </c>
      <c r="F29" s="38"/>
      <c r="G29" s="24">
        <f t="shared" si="0"/>
        <v>3.3003998107416015E-8</v>
      </c>
      <c r="H29" s="4"/>
      <c r="I29" s="7">
        <f t="shared" si="1"/>
        <v>5.4723752858551865E-9</v>
      </c>
      <c r="J29" s="4"/>
      <c r="U29" s="92">
        <v>9</v>
      </c>
      <c r="V29" s="93"/>
      <c r="W29" s="93"/>
      <c r="X29" s="93">
        <f t="shared" si="8"/>
        <v>2250</v>
      </c>
      <c r="Y29" s="93">
        <v>-142.01300000000001</v>
      </c>
      <c r="Z29" s="93"/>
      <c r="AA29" s="93"/>
      <c r="AB29" s="93"/>
      <c r="AC29" s="93"/>
      <c r="AD29" s="94">
        <f t="shared" si="7"/>
        <v>7.9314026851990862E-8</v>
      </c>
      <c r="AE29" s="93"/>
    </row>
    <row r="30" spans="1:31" x14ac:dyDescent="0.3">
      <c r="A30">
        <v>1</v>
      </c>
      <c r="B30" s="8">
        <v>1000.1538461538501</v>
      </c>
      <c r="C30" s="13">
        <v>16.882987043101402</v>
      </c>
      <c r="D30" s="12">
        <v>0</v>
      </c>
      <c r="E30" s="8">
        <v>16.8849780489412</v>
      </c>
      <c r="F30" s="44"/>
      <c r="G30" s="28">
        <f t="shared" si="0"/>
        <v>6.9863268907372209</v>
      </c>
      <c r="I30" s="8">
        <f t="shared" si="1"/>
        <v>1</v>
      </c>
      <c r="U30" s="79">
        <v>1</v>
      </c>
      <c r="X30">
        <f t="shared" si="8"/>
        <v>250</v>
      </c>
      <c r="Y30">
        <v>16.958470719225399</v>
      </c>
      <c r="AD30" s="8">
        <f t="shared" ref="AD30:AD38" si="9">10^(Y30/20)</f>
        <v>7.0456900813485923</v>
      </c>
    </row>
    <row r="31" spans="1:31" x14ac:dyDescent="0.3">
      <c r="A31">
        <v>2</v>
      </c>
      <c r="B31" s="8">
        <v>2000.1538461538501</v>
      </c>
      <c r="C31" s="8">
        <v>-118.213053788846</v>
      </c>
      <c r="D31" s="8">
        <v>-135.09604083194739</v>
      </c>
      <c r="E31" s="8">
        <v>-136.834631894372</v>
      </c>
      <c r="F31" s="44"/>
      <c r="G31" s="28">
        <f t="shared" si="0"/>
        <v>1.4396880680213159E-7</v>
      </c>
      <c r="I31" s="8">
        <f t="shared" si="1"/>
        <v>1.7587250864345048E-7</v>
      </c>
      <c r="U31" s="79">
        <v>2</v>
      </c>
      <c r="X31">
        <f t="shared" si="8"/>
        <v>500</v>
      </c>
      <c r="Y31">
        <v>-131.19999999999999</v>
      </c>
      <c r="AD31" s="8">
        <f t="shared" si="9"/>
        <v>2.7542287033381632E-7</v>
      </c>
    </row>
    <row r="32" spans="1:31" x14ac:dyDescent="0.3">
      <c r="A32">
        <v>3</v>
      </c>
      <c r="B32" s="8">
        <v>3000.3076923076901</v>
      </c>
      <c r="C32" s="8">
        <v>-125.30768036757701</v>
      </c>
      <c r="D32" s="8">
        <v>-142.1906674106784</v>
      </c>
      <c r="E32" s="8">
        <v>-133.268564403005</v>
      </c>
      <c r="F32" s="44"/>
      <c r="G32" s="28">
        <f t="shared" si="0"/>
        <v>2.1705599223567485E-7</v>
      </c>
      <c r="H32" s="29"/>
      <c r="I32" s="8">
        <f t="shared" si="1"/>
        <v>7.7708160671927912E-8</v>
      </c>
      <c r="J32" s="29"/>
      <c r="U32" s="79">
        <v>3</v>
      </c>
      <c r="X32">
        <f t="shared" si="8"/>
        <v>750</v>
      </c>
      <c r="Y32">
        <v>-132.11600000000001</v>
      </c>
      <c r="AD32" s="8">
        <f t="shared" si="9"/>
        <v>2.4785632153941916E-7</v>
      </c>
      <c r="AE32" s="29"/>
    </row>
    <row r="33" spans="1:31" x14ac:dyDescent="0.3">
      <c r="A33">
        <v>4</v>
      </c>
      <c r="B33" s="8">
        <v>4000.4615384615399</v>
      </c>
      <c r="C33" s="8">
        <v>-132.49535736527099</v>
      </c>
      <c r="D33" s="8">
        <v>-149.37834440837241</v>
      </c>
      <c r="E33" s="8">
        <v>-140.48950907611101</v>
      </c>
      <c r="F33" s="45">
        <f>B30</f>
        <v>1000.1538461538501</v>
      </c>
      <c r="G33" s="30">
        <f t="shared" si="0"/>
        <v>9.4520181345533231E-8</v>
      </c>
      <c r="H33" s="15">
        <f>20*LOG10(SQRT(SUMSQ(G31:G38))/G30)</f>
        <v>-147.7235175255372</v>
      </c>
      <c r="I33" s="31">
        <f t="shared" si="1"/>
        <v>3.3969001372482065E-8</v>
      </c>
      <c r="J33" s="15">
        <f>20*LOG10(SQRT(SUMSQ(I31:I38))/I30)</f>
        <v>-134.12925654041803</v>
      </c>
      <c r="U33" s="79">
        <v>4</v>
      </c>
      <c r="X33">
        <f t="shared" si="8"/>
        <v>1000</v>
      </c>
      <c r="Y33" s="80">
        <v>-138.47</v>
      </c>
      <c r="AA33" t="s">
        <v>90</v>
      </c>
      <c r="AD33" s="31">
        <f t="shared" si="9"/>
        <v>1.192614265855821E-7</v>
      </c>
      <c r="AE33" s="15">
        <f>20*LOG10(SQRT(SUMSQ(AD31:AD38))/AD30)</f>
        <v>-144.11270536057842</v>
      </c>
    </row>
    <row r="34" spans="1:31" x14ac:dyDescent="0.3">
      <c r="A34">
        <v>5</v>
      </c>
      <c r="B34" s="8">
        <v>5000.6153846153902</v>
      </c>
      <c r="C34" s="8">
        <v>-137.15759825746301</v>
      </c>
      <c r="D34" s="8">
        <v>-154.0405853005644</v>
      </c>
      <c r="E34" s="8">
        <v>-147.17938268921401</v>
      </c>
      <c r="F34" s="44"/>
      <c r="G34" s="28">
        <f t="shared" si="0"/>
        <v>4.3755320119144104E-8</v>
      </c>
      <c r="I34" s="8">
        <f t="shared" si="1"/>
        <v>1.9859610884280326E-8</v>
      </c>
      <c r="U34" s="79">
        <v>5</v>
      </c>
      <c r="X34">
        <f t="shared" si="8"/>
        <v>1250</v>
      </c>
      <c r="Y34" s="80">
        <v>-137.94499999999999</v>
      </c>
      <c r="AD34" s="8">
        <f t="shared" si="9"/>
        <v>1.2669223567752242E-7</v>
      </c>
    </row>
    <row r="35" spans="1:31" x14ac:dyDescent="0.3">
      <c r="A35">
        <v>6</v>
      </c>
      <c r="B35" s="8">
        <v>6000.6153846153902</v>
      </c>
      <c r="C35" s="13">
        <v>-149.463854756324</v>
      </c>
      <c r="D35" s="13">
        <v>-166.34684179942539</v>
      </c>
      <c r="E35" s="8">
        <v>-149.96494776066399</v>
      </c>
      <c r="F35" s="44"/>
      <c r="G35" s="28">
        <f t="shared" ref="G35:G66" si="10">10^(E35/20)</f>
        <v>3.1750649368464905E-8</v>
      </c>
      <c r="I35" s="8">
        <f t="shared" ref="I35:I66" si="11">10^(D35/20)</f>
        <v>4.8156832102797811E-9</v>
      </c>
      <c r="U35" s="79">
        <v>6</v>
      </c>
      <c r="X35">
        <f t="shared" si="8"/>
        <v>1500</v>
      </c>
      <c r="Y35" s="80">
        <v>-139.173</v>
      </c>
      <c r="AD35" s="8">
        <f t="shared" si="9"/>
        <v>1.0998918904829981E-7</v>
      </c>
    </row>
    <row r="36" spans="1:31" x14ac:dyDescent="0.3">
      <c r="A36">
        <v>7</v>
      </c>
      <c r="B36" s="8">
        <v>7000.7692307692296</v>
      </c>
      <c r="C36" s="8">
        <v>-145.94816782531601</v>
      </c>
      <c r="D36" s="8">
        <v>-162.8311548684174</v>
      </c>
      <c r="E36" s="8">
        <v>-147.68863438416301</v>
      </c>
      <c r="F36" s="44"/>
      <c r="G36" s="28">
        <f t="shared" si="10"/>
        <v>4.1263710778598189E-8</v>
      </c>
      <c r="I36" s="8">
        <f t="shared" si="11"/>
        <v>7.2184218104077421E-9</v>
      </c>
      <c r="U36" s="79">
        <v>7</v>
      </c>
      <c r="X36">
        <f t="shared" si="8"/>
        <v>1750</v>
      </c>
      <c r="Y36" s="80">
        <v>-151.548</v>
      </c>
      <c r="AD36" s="8">
        <f t="shared" si="9"/>
        <v>2.6460619028529442E-8</v>
      </c>
    </row>
    <row r="37" spans="1:31" x14ac:dyDescent="0.3">
      <c r="A37">
        <v>8</v>
      </c>
      <c r="B37" s="8">
        <v>8002.1538461538503</v>
      </c>
      <c r="C37" s="8">
        <v>-149.06990710622799</v>
      </c>
      <c r="D37" s="8">
        <v>-165.95289414932941</v>
      </c>
      <c r="E37" s="8">
        <v>-152.19609654809901</v>
      </c>
      <c r="F37" s="44"/>
      <c r="G37" s="28">
        <f t="shared" si="10"/>
        <v>2.4558123134889914E-8</v>
      </c>
      <c r="I37" s="8">
        <f t="shared" si="11"/>
        <v>5.0391268678687345E-9</v>
      </c>
      <c r="U37" s="79">
        <v>8</v>
      </c>
      <c r="X37">
        <f t="shared" si="8"/>
        <v>2000</v>
      </c>
      <c r="Y37" s="80">
        <v>-143.89400000000001</v>
      </c>
      <c r="AD37" s="8">
        <f t="shared" si="9"/>
        <v>6.3870453530258855E-8</v>
      </c>
    </row>
    <row r="38" spans="1:31" x14ac:dyDescent="0.3">
      <c r="A38">
        <v>9</v>
      </c>
      <c r="B38" s="8">
        <v>9003.5384615384592</v>
      </c>
      <c r="C38" s="8">
        <v>-149.202640665811</v>
      </c>
      <c r="D38" s="8">
        <v>-166.0856277089124</v>
      </c>
      <c r="E38" s="8">
        <v>-153.57813591309201</v>
      </c>
      <c r="F38" s="44"/>
      <c r="G38" s="28">
        <f t="shared" si="10"/>
        <v>2.0945619235144101E-8</v>
      </c>
      <c r="I38" s="8">
        <f t="shared" si="11"/>
        <v>4.9627067657686022E-9</v>
      </c>
      <c r="U38" s="79">
        <v>9</v>
      </c>
      <c r="X38">
        <f t="shared" si="8"/>
        <v>2250</v>
      </c>
      <c r="Y38" s="80">
        <v>-140.90299999999999</v>
      </c>
      <c r="AD38" s="8">
        <f t="shared" si="9"/>
        <v>9.0125979973593751E-8</v>
      </c>
    </row>
    <row r="39" spans="1:31" x14ac:dyDescent="0.3">
      <c r="A39" s="4">
        <v>1</v>
      </c>
      <c r="B39" s="7">
        <v>2000.4615384615399</v>
      </c>
      <c r="C39" s="7">
        <v>16.7651844345306</v>
      </c>
      <c r="D39" s="3">
        <v>0</v>
      </c>
      <c r="E39" s="7">
        <v>16.770989094672998</v>
      </c>
      <c r="F39" s="38"/>
      <c r="G39" s="24">
        <f t="shared" si="10"/>
        <v>6.8952410738422776</v>
      </c>
      <c r="H39" s="4"/>
      <c r="I39" s="7">
        <f t="shared" si="11"/>
        <v>1</v>
      </c>
      <c r="J39" s="4"/>
      <c r="U39" s="91">
        <v>1</v>
      </c>
      <c r="V39" s="74"/>
      <c r="W39" s="74"/>
      <c r="X39" s="74">
        <v>625</v>
      </c>
      <c r="Y39" s="74">
        <v>16.724751335391499</v>
      </c>
      <c r="Z39" s="74"/>
      <c r="AA39" s="74"/>
      <c r="AB39" s="74"/>
      <c r="AC39" s="74"/>
      <c r="AD39" s="75">
        <f t="shared" ref="AD39:AD47" si="12">10^(Y39/20)</f>
        <v>6.8586330322465479</v>
      </c>
      <c r="AE39" s="74"/>
    </row>
    <row r="40" spans="1:31" x14ac:dyDescent="0.3">
      <c r="A40" s="4">
        <v>2</v>
      </c>
      <c r="B40" s="7">
        <v>4001.0769230769201</v>
      </c>
      <c r="C40" s="7">
        <v>-111.485045472691</v>
      </c>
      <c r="D40" s="7">
        <v>-128.25022990722161</v>
      </c>
      <c r="E40" s="5">
        <v>-130.29776227053199</v>
      </c>
      <c r="F40" s="41"/>
      <c r="G40" s="24">
        <f t="shared" si="10"/>
        <v>3.0557082482059496E-7</v>
      </c>
      <c r="H40" s="4"/>
      <c r="I40" s="7">
        <f t="shared" si="11"/>
        <v>3.8680181622207448E-7</v>
      </c>
      <c r="J40" s="4"/>
      <c r="U40" s="91">
        <v>2</v>
      </c>
      <c r="V40" s="74"/>
      <c r="W40" s="74"/>
      <c r="X40" s="74">
        <f t="shared" ref="X40:X47" si="13">U40*$X$39</f>
        <v>1250</v>
      </c>
      <c r="Y40" s="74">
        <v>-118.438</v>
      </c>
      <c r="Z40" s="74"/>
      <c r="AA40" s="74"/>
      <c r="AB40" s="74"/>
      <c r="AC40" s="74"/>
      <c r="AD40" s="75">
        <f t="shared" si="12"/>
        <v>1.1970161227254153E-6</v>
      </c>
      <c r="AE40" s="74"/>
    </row>
    <row r="41" spans="1:31" x14ac:dyDescent="0.3">
      <c r="A41" s="4">
        <v>3</v>
      </c>
      <c r="B41" s="7">
        <v>6001.5384615384601</v>
      </c>
      <c r="C41" s="7">
        <v>-118.414085332136</v>
      </c>
      <c r="D41" s="5">
        <v>-135.17926976666661</v>
      </c>
      <c r="E41" s="7">
        <v>-129.00154822127899</v>
      </c>
      <c r="F41" s="38"/>
      <c r="G41" s="24">
        <f t="shared" si="10"/>
        <v>3.5475015095778593E-7</v>
      </c>
      <c r="H41" s="25"/>
      <c r="I41" s="7">
        <f t="shared" si="11"/>
        <v>1.7419533153750971E-7</v>
      </c>
      <c r="J41" s="25"/>
      <c r="U41" s="91">
        <v>3</v>
      </c>
      <c r="V41" s="74"/>
      <c r="W41" s="74"/>
      <c r="X41" s="74">
        <f t="shared" si="13"/>
        <v>1875</v>
      </c>
      <c r="Y41" s="74">
        <v>-130.75800000000001</v>
      </c>
      <c r="Z41" s="74"/>
      <c r="AA41" s="74"/>
      <c r="AB41" s="74"/>
      <c r="AC41" s="74"/>
      <c r="AD41" s="75">
        <f t="shared" si="12"/>
        <v>2.8980108025297482E-7</v>
      </c>
      <c r="AE41" s="76"/>
    </row>
    <row r="42" spans="1:31" x14ac:dyDescent="0.3">
      <c r="A42" s="4">
        <v>4</v>
      </c>
      <c r="B42" s="3">
        <v>8002.1538461538503</v>
      </c>
      <c r="C42" s="7">
        <v>-126.503593474716</v>
      </c>
      <c r="D42" s="7">
        <v>-143.26877790924661</v>
      </c>
      <c r="E42" s="7">
        <v>-135.319116480248</v>
      </c>
      <c r="F42" s="39">
        <f>B39</f>
        <v>2000.4615384615399</v>
      </c>
      <c r="G42" s="26">
        <f t="shared" si="10"/>
        <v>1.7141316583484969E-7</v>
      </c>
      <c r="H42" s="9">
        <f>20*LOG10(SQRT(SUMSQ(G40:G47))/G39)</f>
        <v>-142.58861933214973</v>
      </c>
      <c r="I42" s="27">
        <f t="shared" si="11"/>
        <v>6.8637444340235126E-8</v>
      </c>
      <c r="J42" s="32">
        <f>20*LOG10(SQRT(SUMSQ(I40:I47))/I39)</f>
        <v>-127.29534816785203</v>
      </c>
      <c r="U42" s="91">
        <v>4</v>
      </c>
      <c r="V42" s="74"/>
      <c r="W42" s="74"/>
      <c r="X42" s="74">
        <f t="shared" si="13"/>
        <v>2500</v>
      </c>
      <c r="Y42" s="74">
        <v>-135.447</v>
      </c>
      <c r="Z42" s="74"/>
      <c r="AA42" s="74"/>
      <c r="AB42" s="74"/>
      <c r="AC42" s="74"/>
      <c r="AD42" s="77">
        <f t="shared" si="12"/>
        <v>1.6890791460203129E-7</v>
      </c>
      <c r="AE42" s="78">
        <f>20*LOG10(SQRT(SUMSQ(AD40:AD47))/AD39)</f>
        <v>-134.78222806390801</v>
      </c>
    </row>
    <row r="43" spans="1:31" x14ac:dyDescent="0.3">
      <c r="A43" s="4">
        <v>5</v>
      </c>
      <c r="B43" s="5">
        <v>10002.615384615399</v>
      </c>
      <c r="C43" s="7">
        <v>-131.90628338467499</v>
      </c>
      <c r="D43" s="5">
        <v>-148.67146781920559</v>
      </c>
      <c r="E43" s="7">
        <v>-148.70941668435199</v>
      </c>
      <c r="F43" s="38"/>
      <c r="G43" s="24">
        <f t="shared" si="10"/>
        <v>3.6688433235352637E-8</v>
      </c>
      <c r="H43" s="4"/>
      <c r="I43" s="7">
        <f t="shared" si="11"/>
        <v>3.6849076573001833E-8</v>
      </c>
      <c r="J43" s="4"/>
      <c r="U43" s="91">
        <v>5</v>
      </c>
      <c r="V43" s="74"/>
      <c r="W43" s="74"/>
      <c r="X43" s="74">
        <f t="shared" si="13"/>
        <v>3125</v>
      </c>
      <c r="Y43" s="74">
        <v>-139.66</v>
      </c>
      <c r="Z43" s="74"/>
      <c r="AA43" s="74"/>
      <c r="AB43" s="74"/>
      <c r="AC43" s="74"/>
      <c r="AD43" s="75">
        <f t="shared" si="12"/>
        <v>1.0399201658290599E-7</v>
      </c>
      <c r="AE43" s="74"/>
    </row>
    <row r="44" spans="1:31" x14ac:dyDescent="0.3">
      <c r="A44" s="4">
        <v>6</v>
      </c>
      <c r="B44" s="5">
        <v>12003.2307692308</v>
      </c>
      <c r="C44" s="7">
        <v>-146.65159073660101</v>
      </c>
      <c r="D44" s="5">
        <v>-163.4167751711316</v>
      </c>
      <c r="E44" s="7">
        <v>-148.77557621595599</v>
      </c>
      <c r="F44" s="38"/>
      <c r="G44" s="24">
        <f t="shared" si="10"/>
        <v>3.6410042779447725E-8</v>
      </c>
      <c r="H44" s="4"/>
      <c r="I44" s="7">
        <f t="shared" si="11"/>
        <v>6.7477850766018543E-9</v>
      </c>
      <c r="J44" s="4"/>
      <c r="U44" s="91">
        <v>6</v>
      </c>
      <c r="V44" s="74"/>
      <c r="W44" s="74"/>
      <c r="X44" s="74">
        <f t="shared" si="13"/>
        <v>3750</v>
      </c>
      <c r="Y44" s="74">
        <v>-151</v>
      </c>
      <c r="Z44" s="74"/>
      <c r="AA44" s="74"/>
      <c r="AB44" s="74"/>
      <c r="AC44" s="74"/>
      <c r="AD44" s="75">
        <f t="shared" si="12"/>
        <v>2.8183829312644468E-8</v>
      </c>
      <c r="AE44" s="74"/>
    </row>
    <row r="45" spans="1:31" x14ac:dyDescent="0.3">
      <c r="A45" s="4">
        <v>7</v>
      </c>
      <c r="B45" s="5">
        <v>14003.692307692299</v>
      </c>
      <c r="C45" s="7">
        <v>-141.826109631523</v>
      </c>
      <c r="D45" s="7">
        <v>-158.59129406605359</v>
      </c>
      <c r="E45" s="5">
        <v>-144.742420621138</v>
      </c>
      <c r="F45" s="41"/>
      <c r="G45" s="24">
        <f t="shared" si="10"/>
        <v>5.792672412404841E-8</v>
      </c>
      <c r="H45" s="4"/>
      <c r="I45" s="7">
        <f t="shared" si="11"/>
        <v>1.1760757541498613E-8</v>
      </c>
      <c r="J45" s="4"/>
      <c r="U45" s="91">
        <v>7</v>
      </c>
      <c r="V45" s="74"/>
      <c r="W45" s="74"/>
      <c r="X45" s="74">
        <f t="shared" si="13"/>
        <v>4375</v>
      </c>
      <c r="Y45" s="74">
        <v>-143.74799999999999</v>
      </c>
      <c r="Z45" s="74"/>
      <c r="AA45" s="74"/>
      <c r="AB45" s="74"/>
      <c r="AC45" s="74"/>
      <c r="AD45" s="75">
        <f t="shared" si="12"/>
        <v>6.4953117443876168E-8</v>
      </c>
      <c r="AE45" s="74"/>
    </row>
    <row r="46" spans="1:31" x14ac:dyDescent="0.3">
      <c r="A46" s="4">
        <v>8</v>
      </c>
      <c r="B46" s="5">
        <v>16004.1538461538</v>
      </c>
      <c r="C46" s="7">
        <v>-143.672214020242</v>
      </c>
      <c r="D46" s="5">
        <v>-160.43739845477259</v>
      </c>
      <c r="E46" s="7">
        <v>-143.077281200486</v>
      </c>
      <c r="F46" s="38"/>
      <c r="G46" s="24">
        <f t="shared" si="10"/>
        <v>7.0167489766789065E-8</v>
      </c>
      <c r="H46" s="4"/>
      <c r="I46" s="7">
        <f t="shared" si="11"/>
        <v>9.5088955570822327E-9</v>
      </c>
      <c r="J46" s="4"/>
      <c r="U46" s="91">
        <v>8</v>
      </c>
      <c r="V46" s="74"/>
      <c r="W46" s="74"/>
      <c r="X46" s="74">
        <f t="shared" si="13"/>
        <v>5000</v>
      </c>
      <c r="Y46" s="74">
        <v>-150</v>
      </c>
      <c r="Z46" s="74"/>
      <c r="AA46" s="74"/>
      <c r="AB46" s="74"/>
      <c r="AC46" s="74"/>
      <c r="AD46" s="75">
        <f t="shared" si="12"/>
        <v>3.1622776601683699E-8</v>
      </c>
      <c r="AE46" s="74"/>
    </row>
    <row r="47" spans="1:31" x14ac:dyDescent="0.3">
      <c r="A47" s="4">
        <v>9</v>
      </c>
      <c r="B47" s="5">
        <v>18004.615384615401</v>
      </c>
      <c r="C47" s="7">
        <v>-143.00664655974899</v>
      </c>
      <c r="D47" s="7">
        <v>-159.77183099427961</v>
      </c>
      <c r="E47" s="7">
        <v>-146.185569821516</v>
      </c>
      <c r="F47" s="38"/>
      <c r="G47" s="24">
        <f t="shared" si="10"/>
        <v>4.9059318268100981E-8</v>
      </c>
      <c r="H47" s="4"/>
      <c r="I47" s="7">
        <f t="shared" si="11"/>
        <v>1.0266169969601272E-8</v>
      </c>
      <c r="J47" s="4"/>
      <c r="U47" s="91">
        <v>9</v>
      </c>
      <c r="V47" s="74"/>
      <c r="W47" s="74"/>
      <c r="X47" s="74">
        <f t="shared" si="13"/>
        <v>5625</v>
      </c>
      <c r="Y47" s="74">
        <v>-147.29</v>
      </c>
      <c r="Z47" s="74"/>
      <c r="AA47" s="74"/>
      <c r="AB47" s="74"/>
      <c r="AC47" s="74"/>
      <c r="AD47" s="75">
        <f t="shared" si="12"/>
        <v>4.3201616761814156E-8</v>
      </c>
      <c r="AE47" s="74"/>
    </row>
    <row r="48" spans="1:31" x14ac:dyDescent="0.3">
      <c r="A48">
        <v>1</v>
      </c>
      <c r="B48" s="8">
        <v>5000.1538461538503</v>
      </c>
      <c r="C48" s="8">
        <v>16.849826557781601</v>
      </c>
      <c r="D48" s="12">
        <v>0</v>
      </c>
      <c r="E48" s="8">
        <v>16.8438299710777</v>
      </c>
      <c r="F48" s="44"/>
      <c r="G48" s="28">
        <f t="shared" si="10"/>
        <v>6.9533085038029343</v>
      </c>
      <c r="I48" s="8">
        <f t="shared" si="11"/>
        <v>1</v>
      </c>
      <c r="U48" s="74"/>
      <c r="V48" s="74">
        <v>1000</v>
      </c>
      <c r="W48" s="74">
        <v>16.0991453651196</v>
      </c>
      <c r="X48" s="74">
        <v>1000</v>
      </c>
      <c r="Y48" s="74">
        <v>16.0993150083169</v>
      </c>
      <c r="Z48" s="74"/>
      <c r="AA48" s="74"/>
      <c r="AB48" s="74"/>
      <c r="AC48" s="74"/>
      <c r="AD48" s="75">
        <f t="shared" ref="AD48:AD56" si="14">10^(Y48/20)</f>
        <v>6.382131530688107</v>
      </c>
      <c r="AE48" s="74"/>
    </row>
    <row r="49" spans="1:31" x14ac:dyDescent="0.3">
      <c r="A49">
        <v>2</v>
      </c>
      <c r="B49" s="13">
        <v>10000.1538461538</v>
      </c>
      <c r="C49" s="8">
        <v>-99.326509214198296</v>
      </c>
      <c r="D49" s="8">
        <v>-116.17633577197989</v>
      </c>
      <c r="E49" s="8">
        <v>-129.49630353862301</v>
      </c>
      <c r="F49" s="44"/>
      <c r="G49" s="28">
        <f t="shared" si="10"/>
        <v>3.3510802101939352E-7</v>
      </c>
      <c r="I49" s="8">
        <f t="shared" si="11"/>
        <v>1.5530420378502628E-6</v>
      </c>
      <c r="U49" s="74"/>
      <c r="V49" s="74">
        <v>2000</v>
      </c>
      <c r="W49" s="74">
        <v>-139.908220690988</v>
      </c>
      <c r="X49" s="74">
        <v>2000</v>
      </c>
      <c r="Y49" s="74">
        <v>-120.096987453089</v>
      </c>
      <c r="Z49" s="74"/>
      <c r="AA49" s="74"/>
      <c r="AB49" s="74"/>
      <c r="AC49" s="74"/>
      <c r="AD49" s="75">
        <f t="shared" si="14"/>
        <v>9.8889601624581586E-7</v>
      </c>
      <c r="AE49" s="74"/>
    </row>
    <row r="50" spans="1:31" x14ac:dyDescent="0.3">
      <c r="A50">
        <v>3</v>
      </c>
      <c r="B50" s="13">
        <v>15000.307692307701</v>
      </c>
      <c r="C50" s="8">
        <v>-107.653232371276</v>
      </c>
      <c r="D50" s="8">
        <v>-124.5030589290576</v>
      </c>
      <c r="E50" s="8">
        <v>-119.61706560729699</v>
      </c>
      <c r="F50" s="44"/>
      <c r="G50" s="28">
        <f t="shared" si="10"/>
        <v>1.045073221320752E-6</v>
      </c>
      <c r="H50" s="29"/>
      <c r="I50" s="8">
        <f t="shared" si="11"/>
        <v>5.9545240480235163E-7</v>
      </c>
      <c r="J50" s="29"/>
      <c r="U50" s="74"/>
      <c r="V50" s="74">
        <v>3000</v>
      </c>
      <c r="W50" s="74">
        <v>-140.60746513649599</v>
      </c>
      <c r="X50" s="74">
        <v>3000</v>
      </c>
      <c r="Y50" s="74">
        <v>-134.29863453495801</v>
      </c>
      <c r="Z50" s="74"/>
      <c r="AA50" s="74"/>
      <c r="AB50" s="74"/>
      <c r="AC50" s="74"/>
      <c r="AD50" s="75">
        <f t="shared" si="14"/>
        <v>1.927827953511066E-7</v>
      </c>
      <c r="AE50" s="76"/>
    </row>
    <row r="51" spans="1:31" x14ac:dyDescent="0.3">
      <c r="A51">
        <v>4</v>
      </c>
      <c r="B51" s="13">
        <v>20000.461538461499</v>
      </c>
      <c r="C51" s="8">
        <v>-116.36485386685401</v>
      </c>
      <c r="D51" s="8">
        <v>-133.21468042463559</v>
      </c>
      <c r="E51" s="8">
        <v>-127.405664366682</v>
      </c>
      <c r="F51" s="45">
        <f>B48</f>
        <v>5000.1538461538503</v>
      </c>
      <c r="G51" s="30">
        <f t="shared" si="10"/>
        <v>4.2630142234763944E-7</v>
      </c>
      <c r="H51" s="15">
        <f>20*LOG10(SQRT(SUMSQ(G49:G56))/G48)</f>
        <v>-135.28615156757104</v>
      </c>
      <c r="I51" s="31">
        <f t="shared" si="11"/>
        <v>2.1840671096487938E-7</v>
      </c>
      <c r="J51" s="15">
        <f>20*LOG10(SQRT(SUMSQ(I49:I56))/I48)</f>
        <v>-115.4861752048263</v>
      </c>
      <c r="U51" s="74"/>
      <c r="V51" s="74">
        <v>4000</v>
      </c>
      <c r="W51" s="74">
        <v>-148.4077254243</v>
      </c>
      <c r="X51" s="74">
        <v>4000</v>
      </c>
      <c r="Y51" s="74">
        <v>-145.95472148096999</v>
      </c>
      <c r="Z51" s="74"/>
      <c r="AA51" s="74"/>
      <c r="AB51" s="74"/>
      <c r="AC51" s="74"/>
      <c r="AD51" s="77">
        <f t="shared" si="14"/>
        <v>5.0380668512423268E-8</v>
      </c>
      <c r="AE51" s="78">
        <f>20*LOG10(SQRT(SUMSQ(AD49:AD56))/AD48)</f>
        <v>-136.00100203069411</v>
      </c>
    </row>
    <row r="52" spans="1:31" x14ac:dyDescent="0.3">
      <c r="A52">
        <v>5</v>
      </c>
      <c r="B52" s="13">
        <v>25000.461538461499</v>
      </c>
      <c r="C52" s="8">
        <v>-122.231257594734</v>
      </c>
      <c r="D52" s="8">
        <v>-139.08108415251559</v>
      </c>
      <c r="E52" s="8">
        <v>-141.85193017976599</v>
      </c>
      <c r="F52" s="44"/>
      <c r="G52" s="28">
        <f t="shared" si="10"/>
        <v>8.0798535852730371E-8</v>
      </c>
      <c r="I52" s="8">
        <f t="shared" si="11"/>
        <v>1.1115929721762875E-7</v>
      </c>
      <c r="U52" s="74"/>
      <c r="V52" s="74">
        <v>5000</v>
      </c>
      <c r="W52" s="74"/>
      <c r="X52" s="74">
        <v>5000</v>
      </c>
      <c r="Y52" s="74">
        <v>-151.94742107712599</v>
      </c>
      <c r="Z52" s="74"/>
      <c r="AA52" s="74"/>
      <c r="AB52" s="74"/>
      <c r="AC52" s="74"/>
      <c r="AD52" s="75">
        <f t="shared" si="14"/>
        <v>2.5271379299317518E-8</v>
      </c>
      <c r="AE52" s="74"/>
    </row>
    <row r="53" spans="1:31" x14ac:dyDescent="0.3">
      <c r="A53">
        <v>6</v>
      </c>
      <c r="B53" s="13">
        <v>30000.615384615401</v>
      </c>
      <c r="C53" s="8">
        <v>-141.01276183904201</v>
      </c>
      <c r="D53" s="8">
        <v>-157.86258839682361</v>
      </c>
      <c r="E53" s="8">
        <v>-139.92108023149501</v>
      </c>
      <c r="F53" s="44"/>
      <c r="G53" s="28">
        <f t="shared" si="10"/>
        <v>1.0091273768878116E-7</v>
      </c>
      <c r="I53" s="8">
        <f t="shared" si="11"/>
        <v>1.2790001050783142E-8</v>
      </c>
      <c r="U53" s="74"/>
      <c r="V53" s="74">
        <v>6000</v>
      </c>
      <c r="W53" s="74"/>
      <c r="X53" s="74">
        <v>6000</v>
      </c>
      <c r="Y53" s="74">
        <v>-151.074213840499</v>
      </c>
      <c r="Z53" s="74"/>
      <c r="AA53" s="74"/>
      <c r="AB53" s="74"/>
      <c r="AC53" s="74"/>
      <c r="AD53" s="75">
        <f t="shared" si="14"/>
        <v>2.7944047314694935E-8</v>
      </c>
      <c r="AE53" s="74"/>
    </row>
    <row r="54" spans="1:31" x14ac:dyDescent="0.3">
      <c r="A54">
        <v>7</v>
      </c>
      <c r="B54" s="13">
        <v>35000.769230769198</v>
      </c>
      <c r="C54" s="8">
        <v>-136.88149194188199</v>
      </c>
      <c r="D54" s="8">
        <v>-153.73131849966359</v>
      </c>
      <c r="E54" s="8">
        <v>-138.960163271624</v>
      </c>
      <c r="F54" s="44"/>
      <c r="G54" s="28">
        <f t="shared" si="10"/>
        <v>1.127176268060395E-7</v>
      </c>
      <c r="I54" s="8">
        <f t="shared" si="11"/>
        <v>2.0579464749113385E-8</v>
      </c>
      <c r="U54" s="74"/>
      <c r="V54" s="74">
        <v>7000</v>
      </c>
      <c r="W54" s="74"/>
      <c r="X54" s="74">
        <v>7000</v>
      </c>
      <c r="Y54" s="74">
        <v>-150.54799233917399</v>
      </c>
      <c r="Z54" s="74"/>
      <c r="AA54" s="74"/>
      <c r="AB54" s="74"/>
      <c r="AC54" s="74"/>
      <c r="AD54" s="75">
        <f t="shared" si="14"/>
        <v>2.9689329047800598E-8</v>
      </c>
      <c r="AE54" s="74"/>
    </row>
    <row r="55" spans="1:31" x14ac:dyDescent="0.3">
      <c r="A55">
        <v>8</v>
      </c>
      <c r="B55" s="13">
        <v>40001.0769230769</v>
      </c>
      <c r="C55" s="13">
        <v>-140.90393217629199</v>
      </c>
      <c r="D55" s="8">
        <v>-157.75375873407361</v>
      </c>
      <c r="E55" s="8">
        <v>-138.45050300328299</v>
      </c>
      <c r="F55" s="44"/>
      <c r="G55" s="28">
        <f t="shared" si="10"/>
        <v>1.1952943037064522E-7</v>
      </c>
      <c r="I55" s="8">
        <f t="shared" si="11"/>
        <v>1.2951261230289232E-8</v>
      </c>
      <c r="U55" s="74"/>
      <c r="V55" s="74">
        <v>8000</v>
      </c>
      <c r="W55" s="74"/>
      <c r="X55" s="74">
        <v>8000</v>
      </c>
      <c r="Y55" s="74">
        <v>-147.60527600079999</v>
      </c>
      <c r="Z55" s="74"/>
      <c r="AA55" s="74"/>
      <c r="AB55" s="74"/>
      <c r="AC55" s="74"/>
      <c r="AD55" s="75">
        <f t="shared" si="14"/>
        <v>4.1661624470798076E-8</v>
      </c>
      <c r="AE55" s="74"/>
    </row>
    <row r="56" spans="1:31" x14ac:dyDescent="0.3">
      <c r="A56">
        <v>9</v>
      </c>
      <c r="B56" s="13">
        <v>45001.384615384603</v>
      </c>
      <c r="C56" s="8">
        <v>-145.90194576934201</v>
      </c>
      <c r="D56" s="8">
        <v>-162.7517723271236</v>
      </c>
      <c r="E56" s="8">
        <v>-148.210677865614</v>
      </c>
      <c r="F56" s="44"/>
      <c r="G56" s="28">
        <f t="shared" si="10"/>
        <v>3.8856717214851953E-8</v>
      </c>
      <c r="I56" s="8">
        <f t="shared" si="11"/>
        <v>7.2846951754562071E-9</v>
      </c>
      <c r="U56" s="74"/>
      <c r="V56" s="74">
        <v>9000</v>
      </c>
      <c r="W56" s="74"/>
      <c r="X56" s="74">
        <v>9000</v>
      </c>
      <c r="Y56" s="74">
        <v>-149.065217444512</v>
      </c>
      <c r="Z56" s="74"/>
      <c r="AA56" s="74"/>
      <c r="AB56" s="74"/>
      <c r="AC56" s="74"/>
      <c r="AD56" s="75">
        <f t="shared" si="14"/>
        <v>3.5215927229022749E-8</v>
      </c>
      <c r="AE56" s="74"/>
    </row>
    <row r="57" spans="1:31" x14ac:dyDescent="0.3">
      <c r="A57" s="4">
        <v>1</v>
      </c>
      <c r="B57" s="5">
        <v>10001.538461538499</v>
      </c>
      <c r="C57" s="7">
        <v>16.707562486926701</v>
      </c>
      <c r="D57" s="3">
        <v>0</v>
      </c>
      <c r="E57" s="7">
        <v>16.705271301432902</v>
      </c>
      <c r="F57" s="38"/>
      <c r="G57" s="24">
        <f t="shared" si="10"/>
        <v>6.8432682623863421</v>
      </c>
      <c r="H57" s="4"/>
      <c r="I57" s="7">
        <f t="shared" si="11"/>
        <v>1</v>
      </c>
      <c r="J57" s="4"/>
      <c r="U57">
        <v>1</v>
      </c>
      <c r="X57">
        <v>2000</v>
      </c>
      <c r="Y57">
        <v>16.670934383953199</v>
      </c>
      <c r="AD57" s="8">
        <f t="shared" ref="AD57:AD65" si="15">10^(Y57/20)</f>
        <v>6.8162689674722898</v>
      </c>
    </row>
    <row r="58" spans="1:31" x14ac:dyDescent="0.3">
      <c r="A58" s="4">
        <v>2</v>
      </c>
      <c r="B58" s="5">
        <v>20002.9230769231</v>
      </c>
      <c r="C58" s="7">
        <v>-87.600933318580005</v>
      </c>
      <c r="D58" s="7">
        <v>-104.30849580550669</v>
      </c>
      <c r="E58" s="7">
        <v>-117.972099522791</v>
      </c>
      <c r="F58" s="38"/>
      <c r="G58" s="24">
        <f t="shared" si="10"/>
        <v>1.2629757848297474E-6</v>
      </c>
      <c r="H58" s="4"/>
      <c r="I58" s="7">
        <f t="shared" si="11"/>
        <v>6.089409910774495E-6</v>
      </c>
      <c r="J58" s="4"/>
      <c r="U58">
        <v>2</v>
      </c>
      <c r="X58">
        <v>4000</v>
      </c>
      <c r="Y58">
        <v>-110.267375874264</v>
      </c>
      <c r="AD58" s="8">
        <f t="shared" si="15"/>
        <v>3.0664169458854352E-6</v>
      </c>
    </row>
    <row r="59" spans="1:31" x14ac:dyDescent="0.3">
      <c r="A59" s="4">
        <v>3</v>
      </c>
      <c r="B59" s="5">
        <v>30004.461538461601</v>
      </c>
      <c r="C59" s="7">
        <v>-98.041176407388903</v>
      </c>
      <c r="D59" s="5">
        <v>-114.74873889431559</v>
      </c>
      <c r="E59" s="7">
        <v>-117.364910297557</v>
      </c>
      <c r="F59" s="38"/>
      <c r="G59" s="24">
        <f t="shared" si="10"/>
        <v>1.3544235146746832E-6</v>
      </c>
      <c r="H59" s="25"/>
      <c r="I59" s="7">
        <f t="shared" si="11"/>
        <v>1.8304718535153223E-6</v>
      </c>
      <c r="J59" s="25"/>
      <c r="U59">
        <v>3</v>
      </c>
      <c r="X59">
        <v>6000</v>
      </c>
      <c r="Y59">
        <v>-119.76210491772299</v>
      </c>
      <c r="AD59" s="8">
        <f t="shared" si="15"/>
        <v>1.0277672012992197E-6</v>
      </c>
      <c r="AE59" s="29"/>
    </row>
    <row r="60" spans="1:31" x14ac:dyDescent="0.3">
      <c r="A60" s="4">
        <v>4</v>
      </c>
      <c r="B60" s="5">
        <v>40005.8461538462</v>
      </c>
      <c r="C60" s="5">
        <v>-107.90797344729999</v>
      </c>
      <c r="D60" s="7">
        <v>-124.6155359342267</v>
      </c>
      <c r="E60" s="7">
        <v>-122.044677157259</v>
      </c>
      <c r="F60" s="39">
        <f>B57</f>
        <v>10001.538461538499</v>
      </c>
      <c r="G60" s="26">
        <f t="shared" si="10"/>
        <v>7.9025297985811773E-7</v>
      </c>
      <c r="H60" s="9">
        <f>20*LOG10(SQRT(SUMSQ(G58:G65))/G57)</f>
        <v>-130.50810931821422</v>
      </c>
      <c r="I60" s="27">
        <f t="shared" si="11"/>
        <v>5.8779136709233827E-7</v>
      </c>
      <c r="J60" s="33">
        <f>20*LOG10(SQRT(SUMSQ(I58:I65))/I57)</f>
        <v>-103.88207512249218</v>
      </c>
      <c r="U60">
        <v>4</v>
      </c>
      <c r="X60">
        <v>8000</v>
      </c>
      <c r="Y60">
        <v>-125.72574261291101</v>
      </c>
      <c r="AD60" s="31">
        <f t="shared" si="15"/>
        <v>5.1726473304984649E-7</v>
      </c>
      <c r="AE60" s="15">
        <f>20*LOG10(SQRT(SUMSQ(AD58:AD65))/AD57)</f>
        <v>-126.32781739813586</v>
      </c>
    </row>
    <row r="61" spans="1:31" x14ac:dyDescent="0.3">
      <c r="A61" s="4">
        <v>5</v>
      </c>
      <c r="B61" s="5">
        <v>50007.384615384603</v>
      </c>
      <c r="C61" s="7">
        <v>-112.39104698502901</v>
      </c>
      <c r="D61" s="7">
        <v>-129.09860947195571</v>
      </c>
      <c r="E61" s="7">
        <v>-137.80301512919999</v>
      </c>
      <c r="F61" s="38"/>
      <c r="G61" s="24">
        <f t="shared" si="10"/>
        <v>1.2878024397779535E-7</v>
      </c>
      <c r="H61" s="4"/>
      <c r="I61" s="7">
        <f t="shared" si="11"/>
        <v>3.5080803047541186E-7</v>
      </c>
      <c r="J61" s="4"/>
      <c r="U61">
        <v>5</v>
      </c>
      <c r="X61">
        <v>10000</v>
      </c>
      <c r="Y61">
        <v>-131.25610853984099</v>
      </c>
      <c r="AD61" s="8">
        <f t="shared" si="15"/>
        <v>2.7364944584403203E-7</v>
      </c>
    </row>
    <row r="62" spans="1:31" x14ac:dyDescent="0.3">
      <c r="A62" s="4">
        <v>6</v>
      </c>
      <c r="B62" s="5">
        <v>60008.769230769198</v>
      </c>
      <c r="C62" s="7">
        <v>-131.006215768723</v>
      </c>
      <c r="D62" s="7">
        <v>-147.71377825564969</v>
      </c>
      <c r="E62" s="7">
        <v>-132.87623422430499</v>
      </c>
      <c r="F62" s="38"/>
      <c r="G62" s="24">
        <f t="shared" si="10"/>
        <v>2.2708491673043525E-7</v>
      </c>
      <c r="H62" s="4"/>
      <c r="I62" s="7">
        <f t="shared" si="11"/>
        <v>4.1144433512314097E-8</v>
      </c>
      <c r="J62" s="4"/>
      <c r="U62">
        <v>6</v>
      </c>
      <c r="X62">
        <v>12000</v>
      </c>
      <c r="Y62">
        <v>-143.68904685684501</v>
      </c>
      <c r="AD62" s="8">
        <f t="shared" si="15"/>
        <v>6.5395468756347709E-8</v>
      </c>
    </row>
    <row r="63" spans="1:31" x14ac:dyDescent="0.3">
      <c r="A63" s="4">
        <v>7</v>
      </c>
      <c r="B63" s="5">
        <v>70010.461538461605</v>
      </c>
      <c r="C63" s="5">
        <v>-126.708878414824</v>
      </c>
      <c r="D63" s="7">
        <v>-143.41644090175069</v>
      </c>
      <c r="E63" s="7">
        <v>-134.567161103009</v>
      </c>
      <c r="F63" s="38"/>
      <c r="G63" s="24">
        <f t="shared" si="10"/>
        <v>1.8691404874855308E-7</v>
      </c>
      <c r="H63" s="4"/>
      <c r="I63" s="7">
        <f t="shared" si="11"/>
        <v>6.7480447646058035E-8</v>
      </c>
      <c r="J63" s="4"/>
      <c r="U63">
        <v>7</v>
      </c>
      <c r="X63">
        <v>14000</v>
      </c>
      <c r="Y63">
        <v>-140.509978396165</v>
      </c>
      <c r="AD63" s="8">
        <f t="shared" si="15"/>
        <v>9.4297695686078523E-8</v>
      </c>
    </row>
    <row r="64" spans="1:31" x14ac:dyDescent="0.3">
      <c r="A64" s="4">
        <v>8</v>
      </c>
      <c r="B64" s="5">
        <v>80012.153846153902</v>
      </c>
      <c r="C64" s="7">
        <v>-142.60420704848499</v>
      </c>
      <c r="D64" s="7">
        <v>-159.31176953541171</v>
      </c>
      <c r="E64" s="7">
        <v>-140.98528856087901</v>
      </c>
      <c r="F64" s="38"/>
      <c r="G64" s="24">
        <f t="shared" si="10"/>
        <v>8.9276174409520651E-8</v>
      </c>
      <c r="H64" s="4"/>
      <c r="I64" s="7">
        <f t="shared" si="11"/>
        <v>1.0824591683513179E-8</v>
      </c>
      <c r="J64" s="4"/>
      <c r="U64">
        <v>8</v>
      </c>
      <c r="X64">
        <v>16000</v>
      </c>
      <c r="Y64">
        <v>-145.96439400455901</v>
      </c>
      <c r="AD64" s="8">
        <f t="shared" si="15"/>
        <v>5.0324596308570284E-8</v>
      </c>
    </row>
    <row r="65" spans="1:31" x14ac:dyDescent="0.3">
      <c r="A65" s="4">
        <v>9</v>
      </c>
      <c r="B65" s="5">
        <v>90013.8461538462</v>
      </c>
      <c r="C65" s="5">
        <v>-146.60007288316399</v>
      </c>
      <c r="D65" s="7">
        <v>-163.30763537009071</v>
      </c>
      <c r="E65" s="7">
        <v>-150.75252039582799</v>
      </c>
      <c r="F65" s="38"/>
      <c r="G65" s="24">
        <f t="shared" si="10"/>
        <v>2.8998396263848225E-8</v>
      </c>
      <c r="H65" s="4"/>
      <c r="I65" s="7">
        <f t="shared" si="11"/>
        <v>6.8331071585692248E-9</v>
      </c>
      <c r="J65" s="4"/>
      <c r="U65">
        <v>9</v>
      </c>
      <c r="X65">
        <v>18000</v>
      </c>
      <c r="Y65">
        <v>-143.24444489761001</v>
      </c>
      <c r="AD65" s="8">
        <f t="shared" si="15"/>
        <v>6.8829997712362376E-8</v>
      </c>
    </row>
    <row r="66" spans="1:31" x14ac:dyDescent="0.3">
      <c r="A66">
        <v>1</v>
      </c>
      <c r="B66" s="12">
        <v>20006</v>
      </c>
      <c r="C66" s="8">
        <v>16.869541035958999</v>
      </c>
      <c r="D66" s="12">
        <v>0</v>
      </c>
      <c r="E66" s="8">
        <v>16.861172810209499</v>
      </c>
      <c r="F66" s="44"/>
      <c r="G66" s="28">
        <f t="shared" si="10"/>
        <v>6.9672058229293841</v>
      </c>
      <c r="I66" s="8">
        <f t="shared" si="11"/>
        <v>1</v>
      </c>
      <c r="U66" s="74">
        <v>1</v>
      </c>
      <c r="V66" s="74"/>
      <c r="W66" s="74"/>
      <c r="X66" s="74">
        <v>5000</v>
      </c>
      <c r="Y66" s="74">
        <v>16.8803764812527</v>
      </c>
      <c r="Z66" s="74"/>
      <c r="AA66" s="74"/>
      <c r="AB66" s="74"/>
      <c r="AC66" s="74"/>
      <c r="AD66" s="75">
        <f t="shared" ref="AD66:AD74" si="16">10^(Y66/20)</f>
        <v>6.9826266892258717</v>
      </c>
      <c r="AE66" s="74"/>
    </row>
    <row r="67" spans="1:31" x14ac:dyDescent="0.3">
      <c r="A67">
        <v>2</v>
      </c>
      <c r="B67" s="13">
        <v>40012.153846153902</v>
      </c>
      <c r="C67" s="8">
        <v>-75.970871564929595</v>
      </c>
      <c r="D67" s="13">
        <v>-92.840412600888598</v>
      </c>
      <c r="E67" s="13">
        <v>-113.078648907999</v>
      </c>
      <c r="F67" s="46">
        <f>B66</f>
        <v>20006</v>
      </c>
      <c r="G67" s="28">
        <f t="shared" ref="G67:G83" si="17">10^(E67/20)</f>
        <v>2.2185414875673002E-6</v>
      </c>
      <c r="H67" s="15">
        <f>20*LOG10(SQRT(SUMSQ(G67:G69))/G66)</f>
        <v>-125.85303347247995</v>
      </c>
      <c r="I67" s="8">
        <f t="shared" ref="I67:I83" si="18">10^(D67/20)</f>
        <v>2.2802337527771774E-5</v>
      </c>
      <c r="J67" s="34">
        <f>20*LOG10(SQRT(SUMSQ(I67:I69))/I66)</f>
        <v>-92.428525690245834</v>
      </c>
      <c r="U67" s="74">
        <v>2</v>
      </c>
      <c r="V67" s="74"/>
      <c r="W67" s="74"/>
      <c r="X67" s="74">
        <f t="shared" ref="X67:X74" si="19">U67*$X$66</f>
        <v>10000</v>
      </c>
      <c r="Y67" s="74">
        <v>-101.916</v>
      </c>
      <c r="Z67" s="74"/>
      <c r="AA67" s="74"/>
      <c r="AB67" s="74"/>
      <c r="AC67" s="74"/>
      <c r="AD67" s="75">
        <f t="shared" si="16"/>
        <v>8.020473348006656E-6</v>
      </c>
      <c r="AE67" s="74"/>
    </row>
    <row r="68" spans="1:31" x14ac:dyDescent="0.3">
      <c r="A68">
        <v>3</v>
      </c>
      <c r="B68" s="13">
        <v>60018.153846153902</v>
      </c>
      <c r="C68" s="8">
        <v>-86.282057417674395</v>
      </c>
      <c r="D68" s="8">
        <v>-103.1515984536334</v>
      </c>
      <c r="E68" s="8">
        <v>-112.681204105335</v>
      </c>
      <c r="F68" s="44"/>
      <c r="G68" s="28">
        <f t="shared" si="17"/>
        <v>2.3224148228995322E-6</v>
      </c>
      <c r="I68" s="8">
        <f t="shared" si="18"/>
        <v>6.9569691466818092E-6</v>
      </c>
      <c r="U68" s="74">
        <v>3</v>
      </c>
      <c r="V68" s="74"/>
      <c r="W68" s="74"/>
      <c r="X68" s="74">
        <f t="shared" si="19"/>
        <v>15000</v>
      </c>
      <c r="Y68" s="74">
        <v>-108.572</v>
      </c>
      <c r="Z68" s="74"/>
      <c r="AA68" s="74"/>
      <c r="AB68" s="74"/>
      <c r="AC68" s="74"/>
      <c r="AD68" s="75">
        <f t="shared" si="16"/>
        <v>3.7273484969033272E-6</v>
      </c>
      <c r="AE68" s="76"/>
    </row>
    <row r="69" spans="1:31" x14ac:dyDescent="0.3">
      <c r="A69">
        <v>4</v>
      </c>
      <c r="B69" s="13">
        <v>80024.153846153902</v>
      </c>
      <c r="C69" s="8">
        <v>-97.910382149856005</v>
      </c>
      <c r="D69" s="8">
        <v>-114.77992318581499</v>
      </c>
      <c r="E69" s="8">
        <v>-116.387759596301</v>
      </c>
      <c r="F69" s="44"/>
      <c r="G69" s="28">
        <f t="shared" si="17"/>
        <v>1.5156957057823367E-6</v>
      </c>
      <c r="I69" s="8">
        <f t="shared" si="18"/>
        <v>1.8239118321217916E-6</v>
      </c>
      <c r="U69" s="74">
        <v>4</v>
      </c>
      <c r="V69" s="74"/>
      <c r="W69" s="74"/>
      <c r="X69" s="74">
        <f t="shared" si="19"/>
        <v>20000</v>
      </c>
      <c r="Y69" s="74">
        <v>-115.05800000000001</v>
      </c>
      <c r="Z69" s="74"/>
      <c r="AA69" s="74"/>
      <c r="AB69" s="74"/>
      <c r="AC69" s="74"/>
      <c r="AD69" s="77">
        <f t="shared" si="16"/>
        <v>1.7664445127424746E-6</v>
      </c>
      <c r="AE69" s="78">
        <f>20*LOG10(SQRT(SUMSQ(AD67:AD74))/AD66)</f>
        <v>-117.72510386734149</v>
      </c>
    </row>
    <row r="70" spans="1:31" x14ac:dyDescent="0.3">
      <c r="A70" s="4">
        <v>1</v>
      </c>
      <c r="B70" s="3">
        <v>49985</v>
      </c>
      <c r="C70" s="7">
        <v>17.001356138125701</v>
      </c>
      <c r="D70" s="3">
        <v>0</v>
      </c>
      <c r="E70" s="7">
        <v>16.9076410011407</v>
      </c>
      <c r="F70" s="38"/>
      <c r="G70" s="24">
        <f t="shared" si="17"/>
        <v>7.0045791981721539</v>
      </c>
      <c r="H70" s="4"/>
      <c r="I70" s="7">
        <f t="shared" si="18"/>
        <v>1</v>
      </c>
      <c r="J70" s="4"/>
      <c r="U70" s="74">
        <v>5</v>
      </c>
      <c r="V70" s="74"/>
      <c r="W70" s="74"/>
      <c r="X70" s="74">
        <f t="shared" si="19"/>
        <v>25000</v>
      </c>
      <c r="Y70" s="74">
        <v>-120.712</v>
      </c>
      <c r="Z70" s="74"/>
      <c r="AA70" s="74"/>
      <c r="AB70" s="74"/>
      <c r="AC70" s="74"/>
      <c r="AD70" s="75">
        <f t="shared" si="16"/>
        <v>9.2129772766855271E-7</v>
      </c>
      <c r="AE70" s="74"/>
    </row>
    <row r="71" spans="1:31" x14ac:dyDescent="0.3">
      <c r="A71" s="4">
        <v>2</v>
      </c>
      <c r="B71" s="3">
        <v>99970</v>
      </c>
      <c r="C71" s="5">
        <v>-60.463577528071703</v>
      </c>
      <c r="D71" s="7">
        <v>-77.464933666197396</v>
      </c>
      <c r="E71" s="5">
        <v>-106.67785028744299</v>
      </c>
      <c r="F71" s="41"/>
      <c r="G71" s="24">
        <f t="shared" si="17"/>
        <v>4.6356163463612248E-6</v>
      </c>
      <c r="H71" s="4"/>
      <c r="I71" s="7">
        <f t="shared" si="18"/>
        <v>1.3389159546645094E-4</v>
      </c>
      <c r="J71" s="4"/>
      <c r="U71" s="74">
        <v>6</v>
      </c>
      <c r="V71" s="74"/>
      <c r="W71" s="74"/>
      <c r="X71" s="74">
        <f t="shared" si="19"/>
        <v>30000</v>
      </c>
      <c r="Y71" s="74">
        <v>-132.041</v>
      </c>
      <c r="Z71" s="74"/>
      <c r="AA71" s="74"/>
      <c r="AB71" s="74"/>
      <c r="AC71" s="74"/>
      <c r="AD71" s="75">
        <f t="shared" si="16"/>
        <v>2.500057515368653E-7</v>
      </c>
      <c r="AE71" s="74"/>
    </row>
    <row r="72" spans="1:31" x14ac:dyDescent="0.3">
      <c r="A72" s="4">
        <v>3</v>
      </c>
      <c r="B72" s="3">
        <v>149956</v>
      </c>
      <c r="C72" s="7">
        <v>-66.533106135407806</v>
      </c>
      <c r="D72" s="7">
        <v>-83.534462273533507</v>
      </c>
      <c r="E72" s="7">
        <v>-105.566749412603</v>
      </c>
      <c r="F72" s="38"/>
      <c r="G72" s="24">
        <f t="shared" si="17"/>
        <v>5.2682033403921886E-6</v>
      </c>
      <c r="H72" s="25"/>
      <c r="I72" s="7">
        <f t="shared" si="18"/>
        <v>6.6569743921417936E-5</v>
      </c>
      <c r="J72" s="25"/>
      <c r="U72" s="74">
        <v>7</v>
      </c>
      <c r="V72" s="74"/>
      <c r="W72" s="74"/>
      <c r="X72" s="74">
        <f t="shared" si="19"/>
        <v>35000</v>
      </c>
      <c r="Y72" s="74">
        <v>-135.97200000000001</v>
      </c>
      <c r="Z72" s="74"/>
      <c r="AA72" s="74"/>
      <c r="AB72" s="74"/>
      <c r="AC72" s="74"/>
      <c r="AD72" s="75">
        <f t="shared" si="16"/>
        <v>1.5900105282148621E-7</v>
      </c>
      <c r="AE72" s="74"/>
    </row>
    <row r="73" spans="1:31" x14ac:dyDescent="0.3">
      <c r="A73" s="4">
        <v>4</v>
      </c>
      <c r="B73" s="3">
        <v>199941</v>
      </c>
      <c r="C73" s="7">
        <v>-84.916765699162994</v>
      </c>
      <c r="D73" s="7">
        <v>-101.91812183728869</v>
      </c>
      <c r="E73" s="7">
        <v>-109.983550626482</v>
      </c>
      <c r="F73" s="39">
        <f>B70</f>
        <v>49985</v>
      </c>
      <c r="G73" s="26">
        <f t="shared" si="17"/>
        <v>3.1682720689327384E-6</v>
      </c>
      <c r="H73" s="9">
        <f>20*LOG10(SQRT(SUMSQ(G71:G78))/G70)</f>
        <v>-118.11311739844359</v>
      </c>
      <c r="I73" s="27">
        <f t="shared" si="18"/>
        <v>8.0185143015924839E-6</v>
      </c>
      <c r="J73" s="33">
        <f>20*LOG10(SQRT(SUMSQ(I71:I78))/I70)</f>
        <v>-76.487753427260813</v>
      </c>
      <c r="U73" s="74">
        <v>8</v>
      </c>
      <c r="V73" s="74"/>
      <c r="W73" s="74"/>
      <c r="X73" s="74">
        <f t="shared" si="19"/>
        <v>40000</v>
      </c>
      <c r="Y73" s="74">
        <v>-141.34100000000001</v>
      </c>
      <c r="Z73" s="74"/>
      <c r="AA73" s="74"/>
      <c r="AB73" s="74"/>
      <c r="AC73" s="74"/>
      <c r="AD73" s="75">
        <f t="shared" si="16"/>
        <v>8.5693918078173233E-8</v>
      </c>
      <c r="AE73" s="74"/>
    </row>
    <row r="74" spans="1:31" x14ac:dyDescent="0.3">
      <c r="A74" s="4">
        <v>5</v>
      </c>
      <c r="B74" s="3">
        <v>249926</v>
      </c>
      <c r="C74" s="7">
        <v>-89.666015544450005</v>
      </c>
      <c r="D74" s="7">
        <v>-106.66737168257571</v>
      </c>
      <c r="E74" s="7">
        <v>-113.679398651548</v>
      </c>
      <c r="F74" s="38"/>
      <c r="G74" s="24">
        <f t="shared" si="17"/>
        <v>2.0702846754324708E-6</v>
      </c>
      <c r="H74" s="4"/>
      <c r="I74" s="7">
        <f t="shared" si="18"/>
        <v>4.6412121006235136E-6</v>
      </c>
      <c r="J74" s="4"/>
      <c r="U74" s="74">
        <v>9</v>
      </c>
      <c r="V74" s="74"/>
      <c r="W74" s="74"/>
      <c r="X74" s="74">
        <f t="shared" si="19"/>
        <v>45000</v>
      </c>
      <c r="Y74" s="74">
        <v>-134.113</v>
      </c>
      <c r="Z74" s="74"/>
      <c r="AA74" s="74"/>
      <c r="AB74" s="74"/>
      <c r="AC74" s="74"/>
      <c r="AD74" s="75">
        <f t="shared" si="16"/>
        <v>1.9694728579048026E-7</v>
      </c>
      <c r="AE74" s="74"/>
    </row>
    <row r="75" spans="1:31" x14ac:dyDescent="0.3">
      <c r="A75" s="4">
        <v>6</v>
      </c>
      <c r="B75" s="3">
        <v>299911</v>
      </c>
      <c r="C75" s="7">
        <v>-99.235713403551003</v>
      </c>
      <c r="D75" s="7">
        <v>-116.2370695416767</v>
      </c>
      <c r="E75" s="7">
        <v>-113.352712883565</v>
      </c>
      <c r="F75" s="38"/>
      <c r="G75" s="24">
        <f t="shared" si="17"/>
        <v>2.1496331746858095E-6</v>
      </c>
      <c r="H75" s="4"/>
      <c r="I75" s="7">
        <f t="shared" si="18"/>
        <v>1.542220681886882E-6</v>
      </c>
      <c r="J75" s="4"/>
      <c r="U75">
        <v>1</v>
      </c>
      <c r="X75">
        <v>10000</v>
      </c>
      <c r="Y75">
        <v>16.906589705332198</v>
      </c>
      <c r="AD75" s="8">
        <f t="shared" ref="AD75:AD92" si="20">10^(Y75/20)</f>
        <v>7.003731450913941</v>
      </c>
    </row>
    <row r="76" spans="1:31" x14ac:dyDescent="0.3">
      <c r="A76" s="4">
        <v>7</v>
      </c>
      <c r="B76" s="3">
        <v>349897</v>
      </c>
      <c r="C76" s="7">
        <v>-98.27340297303752</v>
      </c>
      <c r="D76" s="7">
        <v>-115.27475911116321</v>
      </c>
      <c r="E76" s="7">
        <v>-115.291285748538</v>
      </c>
      <c r="F76" s="38"/>
      <c r="G76" s="24">
        <f t="shared" si="17"/>
        <v>1.7196327698511709E-6</v>
      </c>
      <c r="H76" s="4"/>
      <c r="I76" s="7">
        <f t="shared" si="18"/>
        <v>1.7229078289026977E-6</v>
      </c>
      <c r="J76" s="4"/>
      <c r="U76">
        <v>2</v>
      </c>
      <c r="X76">
        <f t="shared" ref="X76:X83" si="21">$X$75*U76</f>
        <v>20000</v>
      </c>
      <c r="Y76">
        <v>-93.126400000000004</v>
      </c>
      <c r="AD76" s="8">
        <f t="shared" si="20"/>
        <v>2.2063784142397345E-5</v>
      </c>
    </row>
    <row r="77" spans="1:31" x14ac:dyDescent="0.3">
      <c r="A77" s="4">
        <v>8</v>
      </c>
      <c r="B77" s="3">
        <v>399882</v>
      </c>
      <c r="C77" s="7">
        <v>-118.411134819925</v>
      </c>
      <c r="D77" s="7">
        <v>-135.41249095805071</v>
      </c>
      <c r="E77" s="7">
        <v>-114.692127798472</v>
      </c>
      <c r="F77" s="38"/>
      <c r="G77" s="24">
        <f t="shared" si="17"/>
        <v>1.8424410874768459E-6</v>
      </c>
      <c r="H77" s="4"/>
      <c r="I77" s="7">
        <f t="shared" si="18"/>
        <v>1.6958032064396872E-7</v>
      </c>
      <c r="J77" s="4"/>
      <c r="U77">
        <v>3</v>
      </c>
      <c r="X77">
        <f t="shared" si="21"/>
        <v>30000</v>
      </c>
      <c r="Y77">
        <v>-99.263400000000004</v>
      </c>
      <c r="AD77" s="8">
        <f t="shared" si="20"/>
        <v>1.0885039265340892E-5</v>
      </c>
      <c r="AE77" s="29"/>
    </row>
    <row r="78" spans="1:31" x14ac:dyDescent="0.3">
      <c r="A78" s="4">
        <v>9</v>
      </c>
      <c r="B78" s="3">
        <v>449867</v>
      </c>
      <c r="C78" s="5">
        <v>-104.386311269578</v>
      </c>
      <c r="D78" s="7">
        <v>-121.3876674077037</v>
      </c>
      <c r="E78" s="7">
        <v>-119.127222016554</v>
      </c>
      <c r="F78" s="38"/>
      <c r="G78" s="24">
        <f t="shared" si="17"/>
        <v>1.1057040470270659E-6</v>
      </c>
      <c r="H78" s="4"/>
      <c r="I78" s="7">
        <f t="shared" si="18"/>
        <v>8.5234737820491474E-7</v>
      </c>
      <c r="J78" s="4"/>
      <c r="U78">
        <v>4</v>
      </c>
      <c r="X78">
        <f t="shared" si="21"/>
        <v>40000</v>
      </c>
      <c r="Y78">
        <v>-106.14</v>
      </c>
      <c r="AD78" s="31">
        <f t="shared" si="20"/>
        <v>4.9317380395493476E-6</v>
      </c>
      <c r="AE78" s="15">
        <f>20*LOG10(SQRT(SUMSQ(AD76:AD83))/AD75)</f>
        <v>-108.85295444873699</v>
      </c>
    </row>
    <row r="79" spans="1:31" x14ac:dyDescent="0.3">
      <c r="A79">
        <v>1</v>
      </c>
      <c r="B79" s="12">
        <v>100026</v>
      </c>
      <c r="C79" s="8">
        <v>17.257723528652001</v>
      </c>
      <c r="D79" s="12">
        <v>0</v>
      </c>
      <c r="E79" s="8">
        <v>16.923891920845598</v>
      </c>
      <c r="F79" s="44"/>
      <c r="G79" s="28">
        <f t="shared" si="17"/>
        <v>7.0176967268975368</v>
      </c>
      <c r="H79" s="29"/>
      <c r="I79" s="8">
        <f t="shared" si="18"/>
        <v>1</v>
      </c>
      <c r="J79" s="29"/>
      <c r="U79">
        <v>5</v>
      </c>
      <c r="X79">
        <f t="shared" si="21"/>
        <v>50000</v>
      </c>
      <c r="Y79">
        <v>-110.95399999999999</v>
      </c>
      <c r="AD79" s="8">
        <f t="shared" si="20"/>
        <v>2.8333485277843707E-6</v>
      </c>
    </row>
    <row r="80" spans="1:31" x14ac:dyDescent="0.3">
      <c r="A80">
        <v>2</v>
      </c>
      <c r="B80" s="12">
        <v>200052</v>
      </c>
      <c r="C80" s="8">
        <v>-44.188340383975003</v>
      </c>
      <c r="D80" s="8">
        <v>-61.446063912626997</v>
      </c>
      <c r="E80" s="8">
        <v>-105.061725130079</v>
      </c>
      <c r="F80" s="45">
        <f>B79</f>
        <v>100026</v>
      </c>
      <c r="G80" s="30">
        <f t="shared" si="17"/>
        <v>5.5835928634374199E-6</v>
      </c>
      <c r="H80" s="15">
        <f>20*LOG10(SQRT(SUMSQ(G80:G83))/G79)</f>
        <v>-109.63359525407634</v>
      </c>
      <c r="I80" s="31">
        <f t="shared" si="18"/>
        <v>8.466361425138293E-4</v>
      </c>
      <c r="J80" s="34">
        <f>20*LOG10(SQRT(SUMSQ(I80:I83))/I79)</f>
        <v>-45.135344868475457</v>
      </c>
      <c r="U80">
        <v>6</v>
      </c>
      <c r="X80">
        <f t="shared" si="21"/>
        <v>60000</v>
      </c>
      <c r="Y80">
        <v>-122.58</v>
      </c>
      <c r="AD80" s="8">
        <f t="shared" si="20"/>
        <v>7.4301913789670062E-7</v>
      </c>
    </row>
    <row r="81" spans="1:31" x14ac:dyDescent="0.3">
      <c r="A81">
        <v>3</v>
      </c>
      <c r="B81" s="12">
        <v>300079</v>
      </c>
      <c r="C81" s="8">
        <v>-29.0054405542962</v>
      </c>
      <c r="D81" s="8">
        <v>-46.263164082948201</v>
      </c>
      <c r="E81" s="8">
        <v>-95.640212353095194</v>
      </c>
      <c r="F81" s="44"/>
      <c r="G81" s="28">
        <f t="shared" si="17"/>
        <v>1.6519214114721622E-5</v>
      </c>
      <c r="I81" s="8">
        <f t="shared" si="18"/>
        <v>4.8623005026751679E-3</v>
      </c>
      <c r="U81">
        <v>7</v>
      </c>
      <c r="X81">
        <f t="shared" si="21"/>
        <v>70000</v>
      </c>
      <c r="Y81">
        <v>-124.416</v>
      </c>
      <c r="AD81" s="8">
        <f t="shared" si="20"/>
        <v>6.0145065197754866E-7</v>
      </c>
    </row>
    <row r="82" spans="1:31" x14ac:dyDescent="0.3">
      <c r="A82">
        <v>4</v>
      </c>
      <c r="B82" s="12">
        <v>400105</v>
      </c>
      <c r="C82" s="13">
        <v>-43.909271082571102</v>
      </c>
      <c r="D82" s="8">
        <v>-61.166994611223103</v>
      </c>
      <c r="E82" s="8">
        <v>-107.36312720180401</v>
      </c>
      <c r="F82" s="44"/>
      <c r="G82" s="28">
        <f t="shared" si="17"/>
        <v>4.2839425681123539E-6</v>
      </c>
      <c r="I82" s="8">
        <f t="shared" si="18"/>
        <v>8.7427944809327629E-4</v>
      </c>
      <c r="U82">
        <v>8</v>
      </c>
      <c r="X82">
        <f t="shared" si="21"/>
        <v>80000</v>
      </c>
      <c r="Y82">
        <v>-135.90100000000001</v>
      </c>
      <c r="AD82" s="8">
        <f t="shared" si="20"/>
        <v>1.6030608208680821E-7</v>
      </c>
    </row>
    <row r="83" spans="1:31" x14ac:dyDescent="0.3">
      <c r="A83">
        <v>5</v>
      </c>
      <c r="B83" s="12">
        <v>500131</v>
      </c>
      <c r="C83" s="8">
        <v>-35.315536345166201</v>
      </c>
      <c r="D83" s="12">
        <v>-52.573259873818202</v>
      </c>
      <c r="E83" s="8">
        <v>-96.707645773612896</v>
      </c>
      <c r="F83" s="44"/>
      <c r="G83" s="28">
        <f t="shared" si="17"/>
        <v>1.4608906560702583E-5</v>
      </c>
      <c r="I83" s="8">
        <f t="shared" si="18"/>
        <v>2.3514568099290861E-3</v>
      </c>
      <c r="U83">
        <v>9</v>
      </c>
      <c r="X83">
        <f t="shared" si="21"/>
        <v>90000</v>
      </c>
      <c r="Y83">
        <v>-126.69799999999999</v>
      </c>
      <c r="AD83" s="8">
        <f t="shared" si="20"/>
        <v>4.6248750082240233E-7</v>
      </c>
    </row>
    <row r="84" spans="1:31" x14ac:dyDescent="0.3">
      <c r="A84" s="64"/>
      <c r="B84" s="65"/>
      <c r="C84" s="66"/>
      <c r="D84" s="66"/>
      <c r="E84" s="66"/>
      <c r="F84" s="67"/>
      <c r="G84" s="68"/>
      <c r="H84" s="64"/>
      <c r="I84" s="66"/>
      <c r="J84" s="64"/>
      <c r="U84" s="103">
        <v>1</v>
      </c>
      <c r="V84" s="103"/>
      <c r="W84" s="103"/>
      <c r="X84" s="103">
        <v>20000</v>
      </c>
      <c r="Y84" s="103">
        <v>16.886399999999998</v>
      </c>
      <c r="Z84" s="103"/>
      <c r="AA84" s="103"/>
      <c r="AB84" s="103"/>
      <c r="AC84" s="103"/>
      <c r="AD84" s="104">
        <f t="shared" si="20"/>
        <v>6.9874707031195804</v>
      </c>
      <c r="AE84" s="103"/>
    </row>
    <row r="85" spans="1:31" x14ac:dyDescent="0.3">
      <c r="B85" s="12"/>
      <c r="C85" s="8"/>
      <c r="D85" s="8"/>
      <c r="E85" s="8"/>
      <c r="F85" s="44"/>
      <c r="G85" s="28"/>
      <c r="I85" s="8"/>
      <c r="U85" s="103">
        <v>2</v>
      </c>
      <c r="V85" s="103"/>
      <c r="W85" s="103"/>
      <c r="X85" s="103">
        <f>U85*$X$84</f>
        <v>40000</v>
      </c>
      <c r="Y85" s="103">
        <v>-83.044200000000004</v>
      </c>
      <c r="Z85" s="103"/>
      <c r="AA85" s="103"/>
      <c r="AB85" s="103"/>
      <c r="AC85" s="103"/>
      <c r="AD85" s="104">
        <f t="shared" si="20"/>
        <v>7.0435240202861235E-5</v>
      </c>
      <c r="AE85" s="103"/>
    </row>
    <row r="86" spans="1:31" x14ac:dyDescent="0.3">
      <c r="B86" s="12"/>
      <c r="C86" s="8"/>
      <c r="D86" s="8"/>
      <c r="E86" s="8"/>
      <c r="F86" s="44"/>
      <c r="G86" s="28"/>
      <c r="H86" s="8"/>
      <c r="I86" s="8"/>
      <c r="J86" s="28"/>
      <c r="U86" s="103">
        <v>3</v>
      </c>
      <c r="V86" s="103"/>
      <c r="W86" s="103"/>
      <c r="X86" s="103">
        <f t="shared" ref="X86:X92" si="22">U86*$X$84</f>
        <v>60000</v>
      </c>
      <c r="Y86" s="103">
        <v>-88.873199999999997</v>
      </c>
      <c r="Z86" s="103"/>
      <c r="AA86" s="103"/>
      <c r="AB86" s="103"/>
      <c r="AC86" s="103"/>
      <c r="AD86" s="104">
        <f t="shared" si="20"/>
        <v>3.6003108560475443E-5</v>
      </c>
      <c r="AE86" s="103"/>
    </row>
    <row r="87" spans="1:31" x14ac:dyDescent="0.3">
      <c r="B87" s="12"/>
      <c r="C87" s="8"/>
      <c r="D87" s="8"/>
      <c r="E87" s="8"/>
      <c r="F87" s="44"/>
      <c r="G87" s="28"/>
      <c r="I87" s="8"/>
      <c r="U87" s="103">
        <v>4</v>
      </c>
      <c r="V87" s="103"/>
      <c r="W87" s="103"/>
      <c r="X87" s="103">
        <f t="shared" si="22"/>
        <v>80000</v>
      </c>
      <c r="Y87" s="103">
        <v>-97.294200000000004</v>
      </c>
      <c r="Z87" s="103"/>
      <c r="AA87" s="103"/>
      <c r="AB87" s="103"/>
      <c r="AC87" s="103"/>
      <c r="AD87" s="104">
        <f t="shared" si="20"/>
        <v>1.3654946408320378E-5</v>
      </c>
      <c r="AE87" s="105">
        <f>20*LOG10(SQRT(SUMSQ(AD85:AD92))/AD84)</f>
        <v>-98.741233191181394</v>
      </c>
    </row>
    <row r="88" spans="1:31" x14ac:dyDescent="0.3">
      <c r="B88" s="12"/>
      <c r="C88" s="8"/>
      <c r="D88" s="8"/>
      <c r="E88" s="8"/>
      <c r="F88" s="44"/>
      <c r="G88" s="28"/>
      <c r="I88" s="8"/>
      <c r="U88" s="103">
        <v>5</v>
      </c>
      <c r="V88" s="103"/>
      <c r="W88" s="103"/>
      <c r="X88" s="103">
        <f t="shared" si="22"/>
        <v>100000</v>
      </c>
      <c r="Y88" s="103">
        <v>-101.41200000000001</v>
      </c>
      <c r="Z88" s="103"/>
      <c r="AA88" s="103"/>
      <c r="AB88" s="103"/>
      <c r="AC88" s="103"/>
      <c r="AD88" s="104">
        <f t="shared" si="20"/>
        <v>8.499629594496166E-6</v>
      </c>
      <c r="AE88" s="103"/>
    </row>
    <row r="89" spans="1:31" x14ac:dyDescent="0.3">
      <c r="B89" s="12"/>
      <c r="C89" s="13"/>
      <c r="D89" s="8"/>
      <c r="E89" s="8"/>
      <c r="F89" s="44"/>
      <c r="G89" s="28"/>
      <c r="I89" s="8"/>
      <c r="U89" s="103">
        <v>6</v>
      </c>
      <c r="V89" s="103"/>
      <c r="W89" s="103"/>
      <c r="X89" s="103">
        <f t="shared" si="22"/>
        <v>120000</v>
      </c>
      <c r="Y89" s="103">
        <v>-116.017</v>
      </c>
      <c r="Z89" s="103"/>
      <c r="AA89" s="103"/>
      <c r="AB89" s="103"/>
      <c r="AC89" s="103"/>
      <c r="AD89" s="104">
        <f t="shared" si="20"/>
        <v>1.5817942773214534E-6</v>
      </c>
      <c r="AE89" s="103"/>
    </row>
    <row r="90" spans="1:31" x14ac:dyDescent="0.3">
      <c r="B90" s="12"/>
      <c r="C90" s="8"/>
      <c r="D90" s="8"/>
      <c r="E90" s="13"/>
      <c r="F90" s="63"/>
      <c r="G90" s="28"/>
      <c r="I90" s="8"/>
      <c r="U90" s="103">
        <v>7</v>
      </c>
      <c r="V90" s="103"/>
      <c r="W90" s="103"/>
      <c r="X90" s="103">
        <f t="shared" si="22"/>
        <v>140000</v>
      </c>
      <c r="Y90" s="103">
        <v>-114.039</v>
      </c>
      <c r="Z90" s="103"/>
      <c r="AA90" s="103"/>
      <c r="AB90" s="103"/>
      <c r="AC90" s="103"/>
      <c r="AD90" s="104">
        <f t="shared" si="20"/>
        <v>1.9863235881479648E-6</v>
      </c>
      <c r="AE90" s="103"/>
    </row>
    <row r="91" spans="1:31" x14ac:dyDescent="0.3">
      <c r="B91" s="12"/>
      <c r="C91" s="8"/>
      <c r="D91" s="8"/>
      <c r="E91" s="8"/>
      <c r="F91" s="44"/>
      <c r="G91" s="28"/>
      <c r="I91" s="8"/>
      <c r="U91" s="103">
        <v>8</v>
      </c>
      <c r="V91" s="103"/>
      <c r="W91" s="103"/>
      <c r="X91" s="103">
        <f t="shared" si="22"/>
        <v>160000</v>
      </c>
      <c r="Y91" s="103">
        <v>-124.072</v>
      </c>
      <c r="Z91" s="103"/>
      <c r="AA91" s="103"/>
      <c r="AB91" s="103"/>
      <c r="AC91" s="103"/>
      <c r="AD91" s="104">
        <f t="shared" si="20"/>
        <v>6.2574876335444047E-7</v>
      </c>
      <c r="AE91" s="103"/>
    </row>
    <row r="92" spans="1:31" x14ac:dyDescent="0.3">
      <c r="B92" s="12"/>
      <c r="C92" s="8"/>
      <c r="D92" s="12"/>
      <c r="E92" s="8"/>
      <c r="F92" s="44"/>
      <c r="G92" s="28"/>
      <c r="I92" s="8"/>
      <c r="U92" s="103">
        <v>9</v>
      </c>
      <c r="V92" s="103"/>
      <c r="W92" s="103"/>
      <c r="X92" s="103">
        <f t="shared" si="22"/>
        <v>180000</v>
      </c>
      <c r="Y92" s="103">
        <v>-119.379</v>
      </c>
      <c r="Z92" s="103"/>
      <c r="AA92" s="103"/>
      <c r="AB92" s="103"/>
      <c r="AC92" s="103"/>
      <c r="AD92" s="104">
        <f t="shared" si="20"/>
        <v>1.0741130670597885E-6</v>
      </c>
      <c r="AE92" s="103"/>
    </row>
    <row r="93" spans="1:31" x14ac:dyDescent="0.3">
      <c r="B93" s="12"/>
      <c r="C93" s="8"/>
      <c r="D93" s="8"/>
      <c r="E93" s="8"/>
      <c r="F93" s="44"/>
      <c r="G93" s="28"/>
      <c r="H93" s="8"/>
      <c r="I93" s="8"/>
      <c r="J93" s="14"/>
      <c r="U93" s="106">
        <v>1</v>
      </c>
      <c r="V93" s="106"/>
      <c r="W93" s="106"/>
      <c r="X93" s="106">
        <v>100000</v>
      </c>
      <c r="Y93" s="106">
        <v>17.017199999999999</v>
      </c>
      <c r="Z93" s="106"/>
      <c r="AA93" s="106"/>
      <c r="AB93" s="106"/>
      <c r="AC93" s="106"/>
      <c r="AD93" s="107">
        <f t="shared" ref="AD93:AD106" si="23">10^(Y93/20)</f>
        <v>7.0934906398137931</v>
      </c>
      <c r="AE93" s="106"/>
    </row>
    <row r="94" spans="1:31" x14ac:dyDescent="0.3">
      <c r="B94" s="12"/>
      <c r="C94" s="8"/>
      <c r="D94" s="8"/>
      <c r="E94" s="8"/>
      <c r="F94" s="44"/>
      <c r="G94" s="28"/>
      <c r="I94" s="8"/>
      <c r="U94" s="106">
        <v>2</v>
      </c>
      <c r="V94" s="106"/>
      <c r="W94" s="106"/>
      <c r="X94" s="106">
        <f>U94*$X$93</f>
        <v>200000</v>
      </c>
      <c r="Y94" s="106">
        <v>-61.186599999999999</v>
      </c>
      <c r="Z94" s="106"/>
      <c r="AA94" s="106"/>
      <c r="AB94" s="106"/>
      <c r="AC94" s="106"/>
      <c r="AD94" s="107">
        <f t="shared" si="23"/>
        <v>8.723082903573351E-4</v>
      </c>
      <c r="AE94" s="106"/>
    </row>
    <row r="95" spans="1:31" x14ac:dyDescent="0.3">
      <c r="B95" s="12"/>
      <c r="C95" s="8"/>
      <c r="D95" s="8"/>
      <c r="E95" s="8"/>
      <c r="F95" s="44"/>
      <c r="G95" s="28"/>
      <c r="I95" s="8"/>
      <c r="U95" s="106">
        <v>3</v>
      </c>
      <c r="V95" s="106"/>
      <c r="W95" s="106"/>
      <c r="X95" s="106">
        <f t="shared" ref="X95:X101" si="24">U95*$X$93</f>
        <v>300000</v>
      </c>
      <c r="Y95" s="106">
        <v>-69.320099999999996</v>
      </c>
      <c r="Z95" s="106"/>
      <c r="AA95" s="106"/>
      <c r="AB95" s="106"/>
      <c r="AC95" s="106"/>
      <c r="AD95" s="107">
        <f t="shared" si="23"/>
        <v>3.4197550535254047E-4</v>
      </c>
      <c r="AE95" s="108"/>
    </row>
    <row r="96" spans="1:31" x14ac:dyDescent="0.3">
      <c r="B96" s="12"/>
      <c r="C96" s="8"/>
      <c r="D96" s="12"/>
      <c r="E96" s="8"/>
      <c r="F96" s="44"/>
      <c r="G96" s="28"/>
      <c r="I96" s="8"/>
      <c r="U96" s="106">
        <v>4</v>
      </c>
      <c r="V96" s="106"/>
      <c r="W96" s="106"/>
      <c r="X96" s="106">
        <f t="shared" si="24"/>
        <v>400000</v>
      </c>
      <c r="Y96" s="106">
        <v>-80.131200000000007</v>
      </c>
      <c r="Z96" s="106"/>
      <c r="AA96" s="106"/>
      <c r="AB96" s="106"/>
      <c r="AC96" s="106"/>
      <c r="AD96" s="109">
        <f t="shared" si="23"/>
        <v>9.8500854944310803E-5</v>
      </c>
      <c r="AE96" s="110">
        <f>20*LOG10(SQRT(SUMSQ(AD94:AD101))/AD93)</f>
        <v>-77.514691595101525</v>
      </c>
    </row>
    <row r="97" spans="2:31" x14ac:dyDescent="0.3">
      <c r="B97" s="12"/>
      <c r="C97" s="8"/>
      <c r="D97" s="8"/>
      <c r="E97" s="8"/>
      <c r="F97" s="44"/>
      <c r="G97" s="28"/>
      <c r="I97" s="8"/>
      <c r="U97" s="106">
        <v>5</v>
      </c>
      <c r="V97" s="106"/>
      <c r="W97" s="106"/>
      <c r="X97" s="106">
        <f t="shared" si="24"/>
        <v>500000</v>
      </c>
      <c r="Y97" s="106">
        <v>-84.239400000000003</v>
      </c>
      <c r="Z97" s="106"/>
      <c r="AA97" s="106"/>
      <c r="AB97" s="106"/>
      <c r="AC97" s="106"/>
      <c r="AD97" s="107">
        <f t="shared" si="23"/>
        <v>6.1380440380648599E-5</v>
      </c>
      <c r="AE97" s="106"/>
    </row>
    <row r="98" spans="2:31" x14ac:dyDescent="0.3">
      <c r="B98" s="12"/>
      <c r="C98" s="8"/>
      <c r="D98" s="8"/>
      <c r="E98" s="8"/>
      <c r="F98" s="44"/>
      <c r="G98" s="28"/>
      <c r="I98" s="8"/>
      <c r="U98" s="106">
        <v>6</v>
      </c>
      <c r="V98" s="106"/>
      <c r="W98" s="106"/>
      <c r="X98" s="106">
        <f t="shared" si="24"/>
        <v>600000</v>
      </c>
      <c r="Y98" s="106">
        <v>-97.768900000000002</v>
      </c>
      <c r="Z98" s="106"/>
      <c r="AA98" s="106"/>
      <c r="AB98" s="106"/>
      <c r="AC98" s="106"/>
      <c r="AD98" s="107">
        <f t="shared" si="23"/>
        <v>1.2928704223684098E-5</v>
      </c>
      <c r="AE98" s="106"/>
    </row>
    <row r="99" spans="2:31" x14ac:dyDescent="0.3">
      <c r="B99" s="12"/>
      <c r="C99" s="8"/>
      <c r="D99" s="12"/>
      <c r="E99" s="8"/>
      <c r="F99" s="44"/>
      <c r="G99" s="28"/>
      <c r="H99" s="8"/>
      <c r="I99" s="8"/>
      <c r="J99" s="28"/>
      <c r="U99" s="106">
        <v>7</v>
      </c>
      <c r="V99" s="106"/>
      <c r="W99" s="106"/>
      <c r="X99" s="106">
        <f t="shared" si="24"/>
        <v>700000</v>
      </c>
      <c r="Y99" s="106">
        <v>-96.829300000000003</v>
      </c>
      <c r="Z99" s="106"/>
      <c r="AA99" s="106"/>
      <c r="AB99" s="106"/>
      <c r="AC99" s="106"/>
      <c r="AD99" s="107">
        <f t="shared" si="23"/>
        <v>1.4405721019630247E-5</v>
      </c>
      <c r="AE99" s="106"/>
    </row>
    <row r="100" spans="2:31" x14ac:dyDescent="0.3">
      <c r="B100" s="12"/>
      <c r="C100" s="8"/>
      <c r="D100" s="8"/>
      <c r="E100" s="8"/>
      <c r="F100" s="44"/>
      <c r="G100" s="28"/>
      <c r="I100" s="8"/>
      <c r="U100" s="106">
        <v>8</v>
      </c>
      <c r="V100" s="106"/>
      <c r="W100" s="106"/>
      <c r="X100" s="106">
        <f t="shared" si="24"/>
        <v>800000</v>
      </c>
      <c r="Y100" s="106">
        <v>-105.041</v>
      </c>
      <c r="Z100" s="106"/>
      <c r="AA100" s="106"/>
      <c r="AB100" s="106"/>
      <c r="AC100" s="106"/>
      <c r="AD100" s="107">
        <f t="shared" si="23"/>
        <v>5.5969316072924531E-6</v>
      </c>
      <c r="AE100" s="106"/>
    </row>
    <row r="101" spans="2:31" x14ac:dyDescent="0.3">
      <c r="B101" s="12"/>
      <c r="C101" s="8"/>
      <c r="D101" s="8"/>
      <c r="E101" s="8"/>
      <c r="F101" s="44"/>
      <c r="G101" s="28"/>
      <c r="I101" s="8"/>
      <c r="U101" s="106">
        <v>9</v>
      </c>
      <c r="V101" s="106"/>
      <c r="W101" s="106"/>
      <c r="X101" s="106">
        <f t="shared" si="24"/>
        <v>900000</v>
      </c>
      <c r="Y101" s="106">
        <v>-106.803</v>
      </c>
      <c r="Z101" s="106"/>
      <c r="AA101" s="106"/>
      <c r="AB101" s="106"/>
      <c r="AC101" s="106"/>
      <c r="AD101" s="107">
        <f t="shared" si="23"/>
        <v>4.5693034420764176E-6</v>
      </c>
      <c r="AE101" s="106"/>
    </row>
    <row r="102" spans="2:31" x14ac:dyDescent="0.3">
      <c r="B102" s="12"/>
      <c r="C102" s="8"/>
      <c r="D102" s="8"/>
      <c r="E102" s="8"/>
      <c r="F102" s="44"/>
      <c r="G102" s="28"/>
      <c r="I102" s="8"/>
      <c r="U102" s="103">
        <v>1</v>
      </c>
      <c r="V102" s="103"/>
      <c r="W102" s="103"/>
      <c r="X102" s="103">
        <v>200000</v>
      </c>
      <c r="Y102" s="103">
        <v>17.004899999999999</v>
      </c>
      <c r="Z102" s="103"/>
      <c r="AA102" s="103"/>
      <c r="AB102" s="103"/>
      <c r="AC102" s="103"/>
      <c r="AD102" s="103">
        <f t="shared" si="23"/>
        <v>7.0834527288132882</v>
      </c>
      <c r="AE102" s="103"/>
    </row>
    <row r="103" spans="2:31" x14ac:dyDescent="0.3">
      <c r="B103" s="12"/>
      <c r="C103" s="8"/>
      <c r="D103" s="8"/>
      <c r="E103" s="8"/>
      <c r="F103" s="44"/>
      <c r="G103" s="28"/>
      <c r="I103" s="8"/>
      <c r="U103" s="103">
        <v>2</v>
      </c>
      <c r="V103" s="103"/>
      <c r="W103" s="103"/>
      <c r="X103" s="103">
        <f>U103*$X$102</f>
        <v>400000</v>
      </c>
      <c r="Y103" s="103">
        <v>-53.066800000000001</v>
      </c>
      <c r="Z103" s="103"/>
      <c r="AA103" s="103"/>
      <c r="AB103" s="103"/>
      <c r="AC103" s="103"/>
      <c r="AD103" s="103">
        <f t="shared" si="23"/>
        <v>2.2215699893344595E-3</v>
      </c>
      <c r="AE103" s="103"/>
    </row>
    <row r="104" spans="2:31" x14ac:dyDescent="0.3">
      <c r="B104" s="12"/>
      <c r="C104" s="8"/>
      <c r="D104" s="8"/>
      <c r="E104" s="8"/>
      <c r="F104" s="44"/>
      <c r="G104" s="28"/>
      <c r="I104" s="8"/>
      <c r="U104" s="103">
        <v>3</v>
      </c>
      <c r="V104" s="103"/>
      <c r="W104" s="103"/>
      <c r="X104" s="103">
        <f t="shared" ref="X104:X106" si="25">U104*$X$102</f>
        <v>600000</v>
      </c>
      <c r="Y104" s="103">
        <v>-61.052</v>
      </c>
      <c r="Z104" s="103"/>
      <c r="AA104" s="103"/>
      <c r="AB104" s="103"/>
      <c r="AC104" s="103"/>
      <c r="AD104" s="103">
        <f t="shared" si="23"/>
        <v>8.8593120697305248E-4</v>
      </c>
      <c r="AE104" s="105">
        <f>20*LOG10(SQRT(SUMSQ(AD103:AD106))/AD102)</f>
        <v>-69.374418715107481</v>
      </c>
    </row>
    <row r="105" spans="2:31" x14ac:dyDescent="0.3">
      <c r="U105" s="103">
        <v>4</v>
      </c>
      <c r="V105" s="103"/>
      <c r="W105" s="103"/>
      <c r="X105" s="103">
        <f t="shared" si="25"/>
        <v>800000</v>
      </c>
      <c r="Y105" s="103">
        <v>-72.457300000000004</v>
      </c>
      <c r="Z105" s="103"/>
      <c r="AA105" s="103"/>
      <c r="AB105" s="103"/>
      <c r="AC105" s="103"/>
      <c r="AD105" s="103">
        <f t="shared" si="23"/>
        <v>2.383060126063999E-4</v>
      </c>
      <c r="AE105" s="103"/>
    </row>
    <row r="106" spans="2:31" x14ac:dyDescent="0.3">
      <c r="U106" s="103">
        <v>5</v>
      </c>
      <c r="V106" s="103"/>
      <c r="W106" s="103"/>
      <c r="X106" s="103">
        <f t="shared" si="25"/>
        <v>1000000</v>
      </c>
      <c r="Y106" s="103">
        <v>-77.473399999999998</v>
      </c>
      <c r="Z106" s="103"/>
      <c r="AA106" s="103"/>
      <c r="AB106" s="103"/>
      <c r="AC106" s="103"/>
      <c r="AD106" s="103">
        <f t="shared" si="23"/>
        <v>1.3376115187246316E-4</v>
      </c>
      <c r="AE106" s="103"/>
    </row>
  </sheetData>
  <mergeCells count="2">
    <mergeCell ref="G1:H1"/>
    <mergeCell ref="I1:J1"/>
  </mergeCells>
  <pageMargins left="0.70069400000000004" right="0.70069400000000004" top="0.75208299999999995" bottom="0.75208299999999995" header="0.3" footer="0.3"/>
  <pageSetup paperSize="9" fitToWidth="0"/>
  <drawing r:id="rId1"/>
  <extLst>
    <ext uri="smNativeData">
      <pm:sheetPrefs xmlns:pm="smNativeData" day="17186581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809F-95B3-4105-AC22-F78C00CB5793}">
  <dimension ref="D1:G14"/>
  <sheetViews>
    <sheetView topLeftCell="C1" workbookViewId="0">
      <selection activeCell="H22" sqref="H22"/>
    </sheetView>
  </sheetViews>
  <sheetFormatPr baseColWidth="10" defaultRowHeight="14.4" x14ac:dyDescent="0.3"/>
  <cols>
    <col min="4" max="4" width="13.5546875" customWidth="1"/>
  </cols>
  <sheetData>
    <row r="1" spans="4:7" x14ac:dyDescent="0.3">
      <c r="D1" s="99"/>
      <c r="E1" s="100" t="s">
        <v>87</v>
      </c>
      <c r="F1" s="100" t="s">
        <v>85</v>
      </c>
      <c r="G1" s="100"/>
    </row>
    <row r="2" spans="4:7" ht="43.2" x14ac:dyDescent="0.3">
      <c r="D2" s="101" t="s">
        <v>12</v>
      </c>
      <c r="E2" s="100" t="s">
        <v>8</v>
      </c>
      <c r="F2" s="100" t="s">
        <v>8</v>
      </c>
      <c r="G2" s="100" t="s">
        <v>88</v>
      </c>
    </row>
    <row r="3" spans="4:7" x14ac:dyDescent="0.3">
      <c r="D3" s="82">
        <v>62.5</v>
      </c>
      <c r="E3" s="98">
        <v>-148.22386449604772</v>
      </c>
      <c r="F3" s="98">
        <v>-141.43726322725411</v>
      </c>
      <c r="G3" s="98">
        <f>E3-F3</f>
        <v>-6.7866012687936177</v>
      </c>
    </row>
    <row r="4" spans="4:7" x14ac:dyDescent="0.3">
      <c r="D4" s="82">
        <v>125</v>
      </c>
      <c r="E4" s="98">
        <v>-144.22825059880785</v>
      </c>
      <c r="F4" s="98">
        <v>-140.83444501081323</v>
      </c>
      <c r="G4" s="98">
        <f t="shared" ref="G4:G11" si="0">E4-F4</f>
        <v>-3.3938055879946205</v>
      </c>
    </row>
    <row r="5" spans="4:7" x14ac:dyDescent="0.3">
      <c r="D5" s="82">
        <v>250</v>
      </c>
      <c r="E5" s="98"/>
      <c r="F5" s="98">
        <v>-146.38574108635882</v>
      </c>
      <c r="G5" s="98"/>
    </row>
    <row r="6" spans="4:7" x14ac:dyDescent="0.3">
      <c r="D6" s="82">
        <v>250</v>
      </c>
      <c r="E6" s="98"/>
      <c r="F6" s="98">
        <v>-144.11270536057842</v>
      </c>
      <c r="G6" s="98"/>
    </row>
    <row r="7" spans="4:7" x14ac:dyDescent="0.3">
      <c r="D7" s="82">
        <v>625</v>
      </c>
      <c r="E7" s="98">
        <v>-137.53091675107942</v>
      </c>
      <c r="F7" s="98">
        <v>-134.78222806390801</v>
      </c>
      <c r="G7" s="98">
        <f t="shared" si="0"/>
        <v>-2.7486886871714091</v>
      </c>
    </row>
    <row r="8" spans="4:7" x14ac:dyDescent="0.3">
      <c r="D8" s="82">
        <v>1000</v>
      </c>
      <c r="E8" s="98">
        <v>-134.12925654041803</v>
      </c>
      <c r="F8" s="98">
        <v>-136.00100203069411</v>
      </c>
      <c r="G8" s="98">
        <f t="shared" si="0"/>
        <v>1.8717454902760835</v>
      </c>
    </row>
    <row r="9" spans="4:7" x14ac:dyDescent="0.3">
      <c r="D9" s="82">
        <v>2000</v>
      </c>
      <c r="E9" s="98">
        <v>-127.29534816785203</v>
      </c>
      <c r="F9" s="98">
        <v>-126.32781739813586</v>
      </c>
      <c r="G9" s="98">
        <f t="shared" si="0"/>
        <v>-0.96753076971616281</v>
      </c>
    </row>
    <row r="10" spans="4:7" x14ac:dyDescent="0.3">
      <c r="D10" s="82">
        <v>5000</v>
      </c>
      <c r="E10" s="98">
        <v>-115.4861752048263</v>
      </c>
      <c r="F10" s="98">
        <v>-117.72510386734149</v>
      </c>
      <c r="G10" s="98">
        <f t="shared" si="0"/>
        <v>2.2389286625151925</v>
      </c>
    </row>
    <row r="11" spans="4:7" x14ac:dyDescent="0.3">
      <c r="D11" s="82">
        <v>10000</v>
      </c>
      <c r="E11" s="98">
        <v>-103.88207512249218</v>
      </c>
      <c r="F11" s="98">
        <v>-108.85295444873699</v>
      </c>
      <c r="G11" s="98">
        <f t="shared" si="0"/>
        <v>4.9708793262448125</v>
      </c>
    </row>
    <row r="12" spans="4:7" x14ac:dyDescent="0.3">
      <c r="D12" s="82">
        <v>20000</v>
      </c>
      <c r="E12" s="98">
        <v>-92.428525690245834</v>
      </c>
      <c r="F12" s="98"/>
      <c r="G12" s="98"/>
    </row>
    <row r="13" spans="4:7" x14ac:dyDescent="0.3">
      <c r="D13" s="82">
        <v>50000</v>
      </c>
      <c r="E13" s="98">
        <v>-76.487753427260813</v>
      </c>
      <c r="F13" s="98"/>
      <c r="G13" s="98"/>
    </row>
    <row r="14" spans="4:7" x14ac:dyDescent="0.3">
      <c r="D14" s="82">
        <v>100000</v>
      </c>
      <c r="E14" s="98">
        <v>-45.135344868475457</v>
      </c>
      <c r="F14" s="98"/>
      <c r="G14" s="9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20241007</vt:lpstr>
      <vt:lpstr>20241006</vt:lpstr>
      <vt:lpstr>THD_10062024</vt:lpstr>
      <vt:lpstr>GAIN vs FREQ</vt:lpstr>
      <vt:lpstr>THD vs Input Level 20240612</vt:lpstr>
      <vt:lpstr>THD vs Input Level (Board_1) </vt:lpstr>
      <vt:lpstr>THD+N Sweep</vt:lpstr>
      <vt:lpstr>THD Board 1</vt:lpstr>
      <vt:lpstr>THD_13062024_B#1</vt:lpstr>
      <vt:lpstr>V1 &amp; V2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Ricardo Javier Iuzzolino</cp:lastModifiedBy>
  <cp:revision>0</cp:revision>
  <dcterms:created xsi:type="dcterms:W3CDTF">2024-06-17T16:05:24Z</dcterms:created>
  <dcterms:modified xsi:type="dcterms:W3CDTF">2026-05-12T18:42:26Z</dcterms:modified>
</cp:coreProperties>
</file>